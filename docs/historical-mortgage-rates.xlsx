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Standard rates" sheetId="2" r:id="rId2"/>
    <sheet name="Special rates" sheetId="3" r:id="rId3"/>
    <sheet name="Workings" sheetId="4" r:id="rId4"/>
  </sheets>
  <definedNames>
    <definedName name="_xlnm._FilterDatabase" localSheetId="2" hidden="1">'Special rates'!$A$1:$H$118</definedName>
    <definedName name="_xlnm._FilterDatabase" localSheetId="1" hidden="1">'Standard rates'!$A$1:$I$262</definedName>
    <definedName name="_xlnm.Print_Titles" localSheetId="2">'Special rates'!$1:$1</definedName>
    <definedName name="_xlnm.Print_Titles" localSheetId="1">'Standard rates'!$1:$1</definedName>
  </definedNames>
  <calcPr calcId="124519" fullCalcOnLoad="1"/>
</workbook>
</file>

<file path=xl/sharedStrings.xml><?xml version="1.0" encoding="utf-8"?>
<sst xmlns="http://schemas.openxmlformats.org/spreadsheetml/2006/main" count="98" uniqueCount="39">
  <si>
    <t>Month</t>
  </si>
  <si>
    <t>Floating</t>
  </si>
  <si>
    <t>6 months</t>
  </si>
  <si>
    <t>1 year</t>
  </si>
  <si>
    <t>2 years</t>
  </si>
  <si>
    <t>3 years</t>
  </si>
  <si>
    <t>4 years</t>
  </si>
  <si>
    <t>5 years</t>
  </si>
  <si>
    <t>Cheapest term</t>
  </si>
  <si>
    <t>Workings – standard rates over periods of 10 years or longer</t>
  </si>
  <si>
    <t>Each period runs from its start month to the latest month of data. A new start year is added automatically once it has 10 years of data.</t>
  </si>
  <si>
    <t>Period starts</t>
  </si>
  <si>
    <t>Months</t>
  </si>
  <si>
    <t>Average rate over the period</t>
  </si>
  <si>
    <t>Months each term had the cheapest rate</t>
  </si>
  <si>
    <t>Total</t>
  </si>
  <si>
    <t>Average of all periods</t>
  </si>
  <si>
    <t>Share</t>
  </si>
  <si>
    <t>Where two or more terms share the lowest rate in a month, the shorter term is counted. Recent months fall inside every period, so they are counted more than once.</t>
  </si>
  <si>
    <t>NZ historical mortgage interest rates</t>
  </si>
  <si>
    <t>Monthly data from January 2005 to September 2026. Updated automatically each month from Reserve Bank of New Zealand data.</t>
  </si>
  <si>
    <t>Source: RBNZ standard mortgage rates (B20)</t>
  </si>
  <si>
    <t>Source: RBNZ special mortgage rates (B21)</t>
  </si>
  <si>
    <t>Standard rates – all months since January 2005</t>
  </si>
  <si>
    <t>Average</t>
  </si>
  <si>
    <t>Highest</t>
  </si>
  <si>
    <t>Lowest</t>
  </si>
  <si>
    <t>Range (highest – lowest)</t>
  </si>
  <si>
    <t>Standard rates – average over periods of 10 years or longer</t>
  </si>
  <si>
    <t>The average of every period starting in January, from 2005 to 2016, running to September 2026. A new start year is added once it has 10 years of data. See the Workings sheet.</t>
  </si>
  <si>
    <t>How often each term has had the cheapest standard rate</t>
  </si>
  <si>
    <t>Months cheapest</t>
  </si>
  <si>
    <t>Share of months</t>
  </si>
  <si>
    <t>Counted across every period of 10 years or longer, starting each January from 2005 to 2016. Where terms tie, the shorter term is counted.</t>
  </si>
  <si>
    <t>Special rates – all months since January 2017</t>
  </si>
  <si>
    <t>N/A</t>
  </si>
  <si>
    <t>Click the logo for personalised, unbiased financial advice</t>
  </si>
  <si>
    <t>Rates are simple averages of the advertised first-mortgage rates offered by registered banks to new borrowers, at the end of each month. Standard rates exclude special offers. These are historical averages, not a quote from any bank.</t>
  </si>
  <si>
    <t>File generated 18 October 2026.</t>
  </si>
</sst>
</file>

<file path=xl/styles.xml><?xml version="1.0" encoding="utf-8"?>
<styleSheet xmlns="http://schemas.openxmlformats.org/spreadsheetml/2006/main">
  <numFmts count="4">
    <numFmt numFmtId="164" formatCode="0.00%"/>
    <numFmt numFmtId="165" formatCode="#,##0"/>
    <numFmt numFmtId="166" formatCode="0.0%"/>
    <numFmt numFmtId="167" formatCode="mmm yyyy"/>
  </numFmts>
  <fonts count="11">
    <font>
      <sz val="11"/>
      <color theme="1"/>
      <name val="Calibri"/>
      <family val="2"/>
      <scheme val="minor"/>
    </font>
    <font>
      <b/>
      <sz val="16"/>
      <color rgb="FF0F4D9C"/>
      <name val="Arial"/>
      <family val="2"/>
    </font>
    <font>
      <sz val="10"/>
      <color rgb="FF404040"/>
      <name val="Arial"/>
      <family val="2"/>
    </font>
    <font>
      <u/>
      <sz val="10"/>
      <color rgb="FF0563C1"/>
      <name val="Arial"/>
      <family val="2"/>
    </font>
    <font>
      <b/>
      <sz val="12"/>
      <color rgb="FF0F4D9C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i/>
      <sz val="9"/>
      <color rgb="FF595959"/>
      <name val="Arial"/>
      <family val="2"/>
    </font>
    <font>
      <sz val="10"/>
      <color rgb="FF808080"/>
      <name val="Arial"/>
      <family val="2"/>
    </font>
    <font>
      <sz val="9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4D9C"/>
        <bgColor indexed="64"/>
      </patternFill>
    </fill>
    <fill>
      <patternFill patternType="solid">
        <fgColor rgb="FFE8EEF7"/>
        <bgColor indexed="64"/>
      </patternFill>
    </fill>
  </fills>
  <borders count="3">
    <border>
      <left/>
      <right/>
      <top/>
      <bottom/>
      <diagonal/>
    </border>
    <border>
      <left style="thin">
        <color rgb="FF0F4D9C"/>
      </left>
      <right style="thin">
        <color rgb="FF0F4D9C"/>
      </right>
      <top style="thin">
        <color rgb="FF0F4D9C"/>
      </top>
      <bottom style="thin">
        <color rgb="FF0F4D9C"/>
      </bottom>
      <diagonal/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3" borderId="2" xfId="0" applyFont="1" applyFill="1" applyBorder="1"/>
    <xf numFmtId="164" fontId="6" fillId="0" borderId="2" xfId="0" applyNumberFormat="1" applyFont="1" applyBorder="1" applyAlignment="1">
      <alignment horizontal="center"/>
    </xf>
    <xf numFmtId="164" fontId="7" fillId="0" borderId="2" xfId="0" applyNumberFormat="1" applyFont="1" applyBorder="1" applyAlignment="1">
      <alignment horizontal="center"/>
    </xf>
    <xf numFmtId="0" fontId="8" fillId="0" borderId="0" xfId="0" applyFont="1" applyAlignment="1">
      <alignment vertical="top" wrapText="1"/>
    </xf>
    <xf numFmtId="165" fontId="7" fillId="0" borderId="2" xfId="0" applyNumberFormat="1" applyFont="1" applyBorder="1" applyAlignment="1">
      <alignment horizontal="center"/>
    </xf>
    <xf numFmtId="166" fontId="7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0" xfId="0" applyFont="1"/>
    <xf numFmtId="167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7" fontId="6" fillId="3" borderId="2" xfId="0" applyNumberFormat="1" applyFont="1" applyFill="1" applyBorder="1" applyAlignment="1">
      <alignment horizontal="left"/>
    </xf>
    <xf numFmtId="0" fontId="6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1">
    <dxf>
      <font>
        <b/>
      </font>
      <fill>
        <patternFill>
          <bgColor rgb="FFD9EA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yourmoneyblueprint.co.nz/contact" TargetMode="Externa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</xdr:colOff>
      <xdr:row>30</xdr:row>
      <xdr:rowOff>38100</xdr:rowOff>
    </xdr:from>
    <xdr:to>
      <xdr:col>1</xdr:col>
      <xdr:colOff>504825</xdr:colOff>
      <xdr:row>35</xdr:row>
      <xdr:rowOff>61722</xdr:rowOff>
    </xdr:to>
    <xdr:pic>
      <xdr:nvPicPr>
        <xdr:cNvPr id="2" name="Picture 1" descr="logo.png">
          <a:hlinkClick xmlns:r="http://schemas.openxmlformats.org/officeDocument/2006/relationships" r:id="rId1" tooltip="Personalised, unbiased financial advice"/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6019800"/>
          <a:ext cx="2800350" cy="9761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bnz.govt.nz/statistics/series/exchange-and-interest-rates/new-residential-mortgage-standard-interest-rates" TargetMode="External"/><Relationship Id="rId2" Type="http://schemas.openxmlformats.org/officeDocument/2006/relationships/hyperlink" Target="https://www.rbnz.govt.nz/statistics/series/exchange-and-interest-rates/new-residential-mortgage-special-interest-rates" TargetMode="External"/><Relationship Id="rId3" Type="http://schemas.openxmlformats.org/officeDocument/2006/relationships/hyperlink" Target="https://www.yourmoneyblueprint.co.nz/contact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9"/>
  <sheetViews>
    <sheetView showGridLines="0" tabSelected="1" workbookViewId="0"/>
  </sheetViews>
  <sheetFormatPr defaultRowHeight="15"/>
  <cols>
    <col min="1" max="1" width="34.7109375" customWidth="1"/>
    <col min="2" max="8" width="11.28515625" customWidth="1"/>
    <col min="9" max="9" width="3.7109375" customWidth="1"/>
  </cols>
  <sheetData>
    <row r="1" spans="1:8">
      <c r="A1" s="1" t="s">
        <v>19</v>
      </c>
    </row>
    <row r="2" spans="1:8">
      <c r="A2" s="2" t="s">
        <v>20</v>
      </c>
    </row>
    <row r="3" spans="1:8">
      <c r="A3" s="3" t="s">
        <v>21</v>
      </c>
    </row>
    <row r="4" spans="1:8">
      <c r="A4" s="3" t="s">
        <v>22</v>
      </c>
    </row>
    <row r="6" spans="1:8">
      <c r="A6" s="4" t="s">
        <v>23</v>
      </c>
    </row>
    <row r="7" spans="1:8">
      <c r="A7" s="5"/>
      <c r="B7" s="6" t="s">
        <v>1</v>
      </c>
      <c r="C7" s="6" t="s">
        <v>2</v>
      </c>
      <c r="D7" s="6" t="s">
        <v>3</v>
      </c>
      <c r="E7" s="6" t="s">
        <v>4</v>
      </c>
      <c r="F7" s="6" t="s">
        <v>5</v>
      </c>
      <c r="G7" s="6" t="s">
        <v>6</v>
      </c>
      <c r="H7" s="6" t="s">
        <v>7</v>
      </c>
    </row>
    <row r="8" spans="1:8">
      <c r="A8" s="7" t="s">
        <v>24</v>
      </c>
      <c r="B8" s="8">
        <f>AVERAGE('Standard rates'!$B$2:$B$262)</f>
        <v>0.06794406130268199</v>
      </c>
      <c r="C8" s="8">
        <f>AVERAGE('Standard rates'!$C$2:$C$262)</f>
        <v>0.061274329501915706</v>
      </c>
      <c r="D8" s="8">
        <f>AVERAGE('Standard rates'!$D$2:$D$262)</f>
        <v>0.05998007662835249</v>
      </c>
      <c r="E8" s="8">
        <f>AVERAGE('Standard rates'!$E$2:$E$262)</f>
        <v>0.06155938697318008</v>
      </c>
      <c r="F8" s="8">
        <f>AVERAGE('Standard rates'!$F$2:$F$262)</f>
        <v>0.06295632183908045</v>
      </c>
      <c r="G8" s="8">
        <f>AVERAGE('Standard rates'!$G$2:$G$262)</f>
        <v>0.06515249042145593</v>
      </c>
      <c r="H8" s="8">
        <f>AVERAGE('Standard rates'!$H$2:$H$262)</f>
        <v>0.06661302681992337</v>
      </c>
    </row>
    <row r="9" spans="1:8">
      <c r="A9" s="7" t="s">
        <v>25</v>
      </c>
      <c r="B9" s="9">
        <f>MAX('Standard rates'!$B$2:$B$262)</f>
        <v>0.1072</v>
      </c>
      <c r="C9" s="9">
        <f>MAX('Standard rates'!$C$2:$C$262)</f>
        <v>0.0993</v>
      </c>
      <c r="D9" s="9">
        <f>MAX('Standard rates'!$D$2:$D$262)</f>
        <v>0.099</v>
      </c>
      <c r="E9" s="9">
        <f>MAX('Standard rates'!$E$2:$E$262)</f>
        <v>0.09630000000000001</v>
      </c>
      <c r="F9" s="9">
        <f>MAX('Standard rates'!$F$2:$F$262)</f>
        <v>0.09609999999999999</v>
      </c>
      <c r="G9" s="9">
        <f>MAX('Standard rates'!$G$2:$G$262)</f>
        <v>0.0956</v>
      </c>
      <c r="H9" s="9">
        <f>MAX('Standard rates'!$H$2:$H$262)</f>
        <v>0.095</v>
      </c>
    </row>
    <row r="10" spans="1:8">
      <c r="A10" s="7" t="s">
        <v>26</v>
      </c>
      <c r="B10" s="9">
        <f>MIN('Standard rates'!$B$2:$B$262)</f>
        <v>0.0447</v>
      </c>
      <c r="C10" s="9">
        <f>MIN('Standard rates'!$C$2:$C$262)</f>
        <v>0.0374</v>
      </c>
      <c r="D10" s="9">
        <f>MIN('Standard rates'!$D$2:$D$262)</f>
        <v>0.0317</v>
      </c>
      <c r="E10" s="9">
        <f>MIN('Standard rates'!$E$2:$E$262)</f>
        <v>0.0346</v>
      </c>
      <c r="F10" s="9">
        <f>MIN('Standard rates'!$F$2:$F$262)</f>
        <v>0.0333</v>
      </c>
      <c r="G10" s="9">
        <f>MIN('Standard rates'!$G$2:$G$262)</f>
        <v>0.0369</v>
      </c>
      <c r="H10" s="9">
        <f>MIN('Standard rates'!$H$2:$H$262)</f>
        <v>0.0377</v>
      </c>
    </row>
    <row r="11" spans="1:8">
      <c r="A11" s="7" t="s">
        <v>27</v>
      </c>
      <c r="B11" s="9">
        <f>B9-B10</f>
        <v>0.0625</v>
      </c>
      <c r="C11" s="9">
        <f>C9-C10</f>
        <v>0.0619</v>
      </c>
      <c r="D11" s="9">
        <f>D9-D10</f>
        <v>0.0673</v>
      </c>
      <c r="E11" s="9">
        <f>E9-E10</f>
        <v>0.06170000000000001</v>
      </c>
      <c r="F11" s="9">
        <f>F9-F10</f>
        <v>0.0628</v>
      </c>
      <c r="G11" s="9">
        <f>G9-G10</f>
        <v>0.0587</v>
      </c>
      <c r="H11" s="9">
        <f>H9-H10</f>
        <v>0.057300000000000004</v>
      </c>
    </row>
    <row r="13" spans="1:8">
      <c r="A13" s="4" t="s">
        <v>28</v>
      </c>
    </row>
    <row r="14" spans="1:8">
      <c r="A14" s="5"/>
      <c r="B14" s="6" t="s">
        <v>1</v>
      </c>
      <c r="C14" s="6" t="s">
        <v>2</v>
      </c>
      <c r="D14" s="6" t="s">
        <v>3</v>
      </c>
      <c r="E14" s="6" t="s">
        <v>4</v>
      </c>
      <c r="F14" s="6" t="s">
        <v>5</v>
      </c>
      <c r="G14" s="6" t="s">
        <v>6</v>
      </c>
      <c r="H14" s="6" t="s">
        <v>7</v>
      </c>
    </row>
    <row r="15" spans="1:8">
      <c r="A15" s="7" t="s">
        <v>24</v>
      </c>
      <c r="B15" s="8">
        <f>Workings!$C$19</f>
        <v>0.06309807512167666</v>
      </c>
      <c r="C15" s="8">
        <f>Workings!$D$19</f>
        <v>0.05650144892407568</v>
      </c>
      <c r="D15" s="8">
        <f>Workings!$E$19</f>
        <v>0.05469051977910503</v>
      </c>
      <c r="E15" s="8">
        <f>Workings!$F$19</f>
        <v>0.05650726605777984</v>
      </c>
      <c r="F15" s="8">
        <f>Workings!$G$19</f>
        <v>0.05775171170108443</v>
      </c>
      <c r="G15" s="8">
        <f>Workings!$H$19</f>
        <v>0.06014645025178291</v>
      </c>
      <c r="H15" s="8">
        <f>Workings!$I$19</f>
        <v>0.06182811846384758</v>
      </c>
    </row>
    <row r="16" spans="1:8" ht="26" customHeight="1">
      <c r="A16" s="10" t="s">
        <v>29</v>
      </c>
      <c r="B16" s="10"/>
      <c r="C16" s="10"/>
      <c r="D16" s="10"/>
      <c r="E16" s="10"/>
      <c r="F16" s="10"/>
      <c r="G16" s="10"/>
      <c r="H16" s="10"/>
    </row>
    <row r="18" spans="1:8">
      <c r="A18" s="4" t="s">
        <v>30</v>
      </c>
    </row>
    <row r="19" spans="1:8">
      <c r="A19" s="5"/>
      <c r="B19" s="6" t="s">
        <v>1</v>
      </c>
      <c r="C19" s="6" t="s">
        <v>2</v>
      </c>
      <c r="D19" s="6" t="s">
        <v>3</v>
      </c>
      <c r="E19" s="6" t="s">
        <v>4</v>
      </c>
      <c r="F19" s="6" t="s">
        <v>5</v>
      </c>
      <c r="G19" s="6" t="s">
        <v>6</v>
      </c>
      <c r="H19" s="6" t="s">
        <v>7</v>
      </c>
    </row>
    <row r="20" spans="1:8">
      <c r="A20" s="7" t="s">
        <v>31</v>
      </c>
      <c r="B20" s="11">
        <f>Workings!$K$19</f>
        <v>7</v>
      </c>
      <c r="C20" s="11">
        <f>Workings!$L$19</f>
        <v>475</v>
      </c>
      <c r="D20" s="11">
        <f>Workings!$M$19</f>
        <v>1429</v>
      </c>
      <c r="E20" s="11">
        <f>Workings!$N$19</f>
        <v>74</v>
      </c>
      <c r="F20" s="11">
        <f>Workings!$O$19</f>
        <v>112</v>
      </c>
      <c r="G20" s="11">
        <f>Workings!$P$19</f>
        <v>29</v>
      </c>
      <c r="H20" s="11">
        <f>Workings!$Q$19</f>
        <v>214</v>
      </c>
    </row>
    <row r="21" spans="1:8">
      <c r="A21" s="7" t="s">
        <v>32</v>
      </c>
      <c r="B21" s="12">
        <f>Workings!$K$20</f>
        <v>0.0029914529914529917</v>
      </c>
      <c r="C21" s="12">
        <f>Workings!$L$20</f>
        <v>0.202991452991453</v>
      </c>
      <c r="D21" s="12">
        <f>Workings!$M$20</f>
        <v>0.6106837606837607</v>
      </c>
      <c r="E21" s="12">
        <f>Workings!$N$20</f>
        <v>0.03162393162393162</v>
      </c>
      <c r="F21" s="12">
        <f>Workings!$O$20</f>
        <v>0.04786324786324787</v>
      </c>
      <c r="G21" s="12">
        <f>Workings!$P$20</f>
        <v>0.012393162393162393</v>
      </c>
      <c r="H21" s="12">
        <f>Workings!$Q$20</f>
        <v>0.09145299145299145</v>
      </c>
    </row>
    <row r="22" spans="1:8" ht="26" customHeight="1">
      <c r="A22" s="10" t="s">
        <v>33</v>
      </c>
      <c r="B22" s="10"/>
      <c r="C22" s="10"/>
      <c r="D22" s="10"/>
      <c r="E22" s="10"/>
      <c r="F22" s="10"/>
      <c r="G22" s="10"/>
      <c r="H22" s="10"/>
    </row>
    <row r="24" spans="1:8">
      <c r="A24" s="4" t="s">
        <v>34</v>
      </c>
    </row>
    <row r="25" spans="1:8">
      <c r="A25" s="5"/>
      <c r="B25" s="6" t="s">
        <v>1</v>
      </c>
      <c r="C25" s="6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</row>
    <row r="26" spans="1:8">
      <c r="A26" s="7" t="s">
        <v>24</v>
      </c>
      <c r="B26" s="13" t="s">
        <v>35</v>
      </c>
      <c r="C26" s="8">
        <f>AVERAGE('Special rates'!$B$2:$B$118)</f>
        <v>0.050342735042735044</v>
      </c>
      <c r="D26" s="8">
        <f>AVERAGE('Special rates'!$C$2:$C$118)</f>
        <v>0.04601282051282051</v>
      </c>
      <c r="E26" s="8">
        <f>AVERAGE('Special rates'!$D$2:$D$118)</f>
        <v>0.04713846153846154</v>
      </c>
      <c r="F26" s="8">
        <f>AVERAGE('Special rates'!$E$2:$E$118)</f>
        <v>0.049037606837606836</v>
      </c>
      <c r="G26" s="8">
        <f>AVERAGE('Special rates'!$F$2:$F$118)</f>
        <v>0.051570940170940174</v>
      </c>
      <c r="H26" s="8">
        <f>AVERAGE('Special rates'!$G$2:$G$118)</f>
        <v>0.052422222222222224</v>
      </c>
    </row>
    <row r="27" spans="1:8">
      <c r="A27" s="7" t="s">
        <v>25</v>
      </c>
      <c r="B27" s="13" t="s">
        <v>35</v>
      </c>
      <c r="C27" s="9">
        <f>MAX('Special rates'!$B$2:$B$118)</f>
        <v>0.0738</v>
      </c>
      <c r="D27" s="9">
        <f>MAX('Special rates'!$C$2:$C$118)</f>
        <v>0.073</v>
      </c>
      <c r="E27" s="9">
        <f>MAX('Special rates'!$D$2:$D$118)</f>
        <v>0.0701</v>
      </c>
      <c r="F27" s="9">
        <f>MAX('Special rates'!$E$2:$E$118)</f>
        <v>0.0679</v>
      </c>
      <c r="G27" s="9">
        <f>MAX('Special rates'!$F$2:$F$118)</f>
        <v>0.067</v>
      </c>
      <c r="H27" s="9">
        <f>MAX('Special rates'!$G$2:$G$118)</f>
        <v>0.0675</v>
      </c>
    </row>
    <row r="28" spans="1:8">
      <c r="A28" s="7" t="s">
        <v>26</v>
      </c>
      <c r="B28" s="13" t="s">
        <v>35</v>
      </c>
      <c r="C28" s="9">
        <f>MIN('Special rates'!$B$2:$B$118)</f>
        <v>0.030899999999999997</v>
      </c>
      <c r="D28" s="9">
        <f>MIN('Special rates'!$C$2:$C$118)</f>
        <v>0.022099999999999998</v>
      </c>
      <c r="E28" s="9">
        <f>MIN('Special rates'!$D$2:$D$118)</f>
        <v>0.0256</v>
      </c>
      <c r="F28" s="9">
        <f>MIN('Special rates'!$E$2:$E$118)</f>
        <v>0.0273</v>
      </c>
      <c r="G28" s="9">
        <f>MIN('Special rates'!$F$2:$F$118)</f>
        <v>0.0296</v>
      </c>
      <c r="H28" s="9">
        <f>MIN('Special rates'!$G$2:$G$118)</f>
        <v>0.0301</v>
      </c>
    </row>
    <row r="29" spans="1:8">
      <c r="A29" s="7" t="s">
        <v>27</v>
      </c>
      <c r="B29" s="13" t="s">
        <v>35</v>
      </c>
      <c r="C29" s="9">
        <f>C27-C28</f>
        <v>0.04290000000000001</v>
      </c>
      <c r="D29" s="9">
        <f>D27-D28</f>
        <v>0.0509</v>
      </c>
      <c r="E29" s="9">
        <f>E27-E28</f>
        <v>0.0445</v>
      </c>
      <c r="F29" s="9">
        <f>F27-F28</f>
        <v>0.0406</v>
      </c>
      <c r="G29" s="9">
        <f>G27-G28</f>
        <v>0.0374</v>
      </c>
      <c r="H29" s="9">
        <f>H27-H28</f>
        <v>0.0374</v>
      </c>
    </row>
    <row r="36" spans="1:8">
      <c r="A36" s="3" t="s">
        <v>36</v>
      </c>
    </row>
    <row r="38" spans="1:8" ht="38" customHeight="1">
      <c r="A38" s="10" t="s">
        <v>37</v>
      </c>
      <c r="B38" s="10"/>
      <c r="C38" s="10"/>
      <c r="D38" s="10"/>
      <c r="E38" s="10"/>
      <c r="F38" s="10"/>
      <c r="G38" s="10"/>
      <c r="H38" s="10"/>
    </row>
    <row r="39" spans="1:8">
      <c r="A39" s="14" t="s">
        <v>38</v>
      </c>
    </row>
  </sheetData>
  <mergeCells count="3">
    <mergeCell ref="A16:H16"/>
    <mergeCell ref="A22:H22"/>
    <mergeCell ref="A38:H38"/>
  </mergeCells>
  <hyperlinks>
    <hyperlink ref="A3" r:id="rId1"/>
    <hyperlink ref="A4" r:id="rId2"/>
    <hyperlink ref="A36" r:id="rId3"/>
  </hyperlinks>
  <pageMargins left="0.7" right="0.7" top="0.75" bottom="0.75" header="0.3" footer="0.3"/>
  <pageSetup paperSize="9"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2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8" width="10.7109375" customWidth="1"/>
    <col min="9" max="9" width="14.7109375" customWidth="1"/>
  </cols>
  <sheetData>
    <row r="1" spans="1:9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pans="1:9">
      <c r="A2" s="15">
        <v>38383</v>
      </c>
      <c r="B2" s="16">
        <v>0.0867</v>
      </c>
      <c r="C2" s="16">
        <v>0.0767</v>
      </c>
      <c r="D2" s="16">
        <v>0.0764</v>
      </c>
      <c r="E2" s="16">
        <v>0.0761</v>
      </c>
      <c r="F2" s="16">
        <v>0.0767</v>
      </c>
      <c r="G2" s="16">
        <v>0.07679999999999999</v>
      </c>
      <c r="H2" s="16">
        <v>0.0767</v>
      </c>
      <c r="I2" s="17" t="str">
        <f>IFERROR(INDEX($B$1:$H$1,MATCH(MIN(B2:H2),B2:H2,0)),"")</f>
        <v>2 years</v>
      </c>
    </row>
    <row r="3" spans="1:9">
      <c r="A3" s="15">
        <v>38411</v>
      </c>
      <c r="B3" s="16">
        <v>0.0867</v>
      </c>
      <c r="C3" s="16">
        <v>0.0765</v>
      </c>
      <c r="D3" s="16">
        <v>0.07629999999999999</v>
      </c>
      <c r="E3" s="16">
        <v>0.0767</v>
      </c>
      <c r="F3" s="16">
        <v>0.0765</v>
      </c>
      <c r="G3" s="16">
        <v>0.07719999999999999</v>
      </c>
      <c r="H3" s="16">
        <v>0.0774</v>
      </c>
      <c r="I3" s="17" t="str">
        <f>IFERROR(INDEX($B$1:$H$1,MATCH(MIN(B3:H3),B3:H3,0)),"")</f>
        <v>1 year</v>
      </c>
    </row>
    <row r="4" spans="1:9">
      <c r="A4" s="15">
        <v>38442</v>
      </c>
      <c r="B4" s="16">
        <v>0.0891</v>
      </c>
      <c r="C4" s="16">
        <v>0.0791</v>
      </c>
      <c r="D4" s="16">
        <v>0.077</v>
      </c>
      <c r="E4" s="16">
        <v>0.07730000000000001</v>
      </c>
      <c r="F4" s="16">
        <v>0.0785</v>
      </c>
      <c r="G4" s="16">
        <v>0.0794</v>
      </c>
      <c r="H4" s="16">
        <v>0.0794</v>
      </c>
      <c r="I4" s="17" t="str">
        <f>IFERROR(INDEX($B$1:$H$1,MATCH(MIN(B4:H4),B4:H4,0)),"")</f>
        <v>1 year</v>
      </c>
    </row>
    <row r="5" spans="1:9">
      <c r="A5" s="15">
        <v>38472</v>
      </c>
      <c r="B5" s="16">
        <v>0.08939999999999999</v>
      </c>
      <c r="C5" s="16">
        <v>0.0793</v>
      </c>
      <c r="D5" s="16">
        <v>0.0774</v>
      </c>
      <c r="E5" s="16">
        <v>0.0775</v>
      </c>
      <c r="F5" s="16">
        <v>0.0789</v>
      </c>
      <c r="G5" s="16">
        <v>0.0799</v>
      </c>
      <c r="H5" s="16">
        <v>0.0799</v>
      </c>
      <c r="I5" s="17" t="str">
        <f>IFERROR(INDEX($B$1:$H$1,MATCH(MIN(B5:H5),B5:H5,0)),"")</f>
        <v>1 year</v>
      </c>
    </row>
    <row r="6" spans="1:9">
      <c r="A6" s="15">
        <v>38503</v>
      </c>
      <c r="B6" s="16">
        <v>0.08939999999999999</v>
      </c>
      <c r="C6" s="16">
        <v>0.07870000000000001</v>
      </c>
      <c r="D6" s="16">
        <v>0.0776</v>
      </c>
      <c r="E6" s="16">
        <v>0.07730000000000001</v>
      </c>
      <c r="F6" s="16">
        <v>0.0779</v>
      </c>
      <c r="G6" s="16">
        <v>0.078</v>
      </c>
      <c r="H6" s="16">
        <v>0.0776</v>
      </c>
      <c r="I6" s="17" t="str">
        <f>IFERROR(INDEX($B$1:$H$1,MATCH(MIN(B6:H6),B6:H6,0)),"")</f>
        <v>2 years</v>
      </c>
    </row>
    <row r="7" spans="1:9">
      <c r="A7" s="15">
        <v>38533</v>
      </c>
      <c r="B7" s="16">
        <v>0.08939999999999999</v>
      </c>
      <c r="C7" s="16">
        <v>0.0791</v>
      </c>
      <c r="D7" s="16">
        <v>0.07820000000000001</v>
      </c>
      <c r="E7" s="16">
        <v>0.0764</v>
      </c>
      <c r="F7" s="16">
        <v>0.07629999999999999</v>
      </c>
      <c r="G7" s="16">
        <v>0.0761</v>
      </c>
      <c r="H7" s="16">
        <v>0.0761</v>
      </c>
      <c r="I7" s="17" t="str">
        <f>IFERROR(INDEX($B$1:$H$1,MATCH(MIN(B7:H7),B7:H7,0)),"")</f>
        <v>4 years</v>
      </c>
    </row>
    <row r="8" spans="1:9">
      <c r="A8" s="15">
        <v>38564</v>
      </c>
      <c r="B8" s="16">
        <v>0.08939999999999999</v>
      </c>
      <c r="C8" s="16">
        <v>0.0794</v>
      </c>
      <c r="D8" s="16">
        <v>0.07870000000000001</v>
      </c>
      <c r="E8" s="16">
        <v>0.07629999999999999</v>
      </c>
      <c r="F8" s="16">
        <v>0.07629999999999999</v>
      </c>
      <c r="G8" s="16">
        <v>0.0757</v>
      </c>
      <c r="H8" s="16">
        <v>0.0747</v>
      </c>
      <c r="I8" s="17" t="str">
        <f>IFERROR(INDEX($B$1:$H$1,MATCH(MIN(B8:H8),B8:H8,0)),"")</f>
        <v>5 years</v>
      </c>
    </row>
    <row r="9" spans="1:9">
      <c r="A9" s="15">
        <v>38595</v>
      </c>
      <c r="B9" s="16">
        <v>0.08939999999999999</v>
      </c>
      <c r="C9" s="16">
        <v>0.0793</v>
      </c>
      <c r="D9" s="16">
        <v>0.0786</v>
      </c>
      <c r="E9" s="16">
        <v>0.0764</v>
      </c>
      <c r="F9" s="16">
        <v>0.0762</v>
      </c>
      <c r="G9" s="16">
        <v>0.07530000000000001</v>
      </c>
      <c r="H9" s="16">
        <v>0.0746</v>
      </c>
      <c r="I9" s="17" t="str">
        <f>IFERROR(INDEX($B$1:$H$1,MATCH(MIN(B9:H9),B9:H9,0)),"")</f>
        <v>5 years</v>
      </c>
    </row>
    <row r="10" spans="1:9">
      <c r="A10" s="15">
        <v>38625</v>
      </c>
      <c r="B10" s="16">
        <v>0.08939999999999999</v>
      </c>
      <c r="C10" s="16">
        <v>0.0796</v>
      </c>
      <c r="D10" s="16">
        <v>0.0794</v>
      </c>
      <c r="E10" s="16">
        <v>0.0771</v>
      </c>
      <c r="F10" s="16">
        <v>0.0759</v>
      </c>
      <c r="G10" s="16">
        <v>0.07480000000000001</v>
      </c>
      <c r="H10" s="16">
        <v>0.0746</v>
      </c>
      <c r="I10" s="17" t="str">
        <f>IFERROR(INDEX($B$1:$H$1,MATCH(MIN(B10:H10),B10:H10,0)),"")</f>
        <v>5 years</v>
      </c>
    </row>
    <row r="11" spans="1:9">
      <c r="A11" s="15">
        <v>38656</v>
      </c>
      <c r="B11" s="16">
        <v>0.0902</v>
      </c>
      <c r="C11" s="16">
        <v>0.0815</v>
      </c>
      <c r="D11" s="16">
        <v>0.08160000000000001</v>
      </c>
      <c r="E11" s="16">
        <v>0.07919999999999999</v>
      </c>
      <c r="F11" s="16">
        <v>0.0789</v>
      </c>
      <c r="G11" s="16">
        <v>0.0779</v>
      </c>
      <c r="H11" s="16">
        <v>0.07690000000000001</v>
      </c>
      <c r="I11" s="17" t="str">
        <f>IFERROR(INDEX($B$1:$H$1,MATCH(MIN(B11:H11),B11:H11,0)),"")</f>
        <v>5 years</v>
      </c>
    </row>
    <row r="12" spans="1:9">
      <c r="A12" s="15">
        <v>38686</v>
      </c>
      <c r="B12" s="16">
        <v>0.0917</v>
      </c>
      <c r="C12" s="16">
        <v>0.0848</v>
      </c>
      <c r="D12" s="16">
        <v>0.08439999999999999</v>
      </c>
      <c r="E12" s="16">
        <v>0.08220000000000001</v>
      </c>
      <c r="F12" s="16">
        <v>0.08169999999999999</v>
      </c>
      <c r="G12" s="16">
        <v>0.0809</v>
      </c>
      <c r="H12" s="16">
        <v>0.0793</v>
      </c>
      <c r="I12" s="17" t="str">
        <f>IFERROR(INDEX($B$1:$H$1,MATCH(MIN(B12:H12),B12:H12,0)),"")</f>
        <v>5 years</v>
      </c>
    </row>
    <row r="13" spans="1:9">
      <c r="A13" s="15">
        <v>38717</v>
      </c>
      <c r="B13" s="16">
        <v>0.09470000000000001</v>
      </c>
      <c r="C13" s="16">
        <v>0.0852</v>
      </c>
      <c r="D13" s="16">
        <v>0.0849</v>
      </c>
      <c r="E13" s="16">
        <v>0.0827</v>
      </c>
      <c r="F13" s="16">
        <v>0.0819</v>
      </c>
      <c r="G13" s="16">
        <v>0.0809</v>
      </c>
      <c r="H13" s="16">
        <v>0.0795</v>
      </c>
      <c r="I13" s="17" t="str">
        <f>IFERROR(INDEX($B$1:$H$1,MATCH(MIN(B13:H13),B13:H13,0)),"")</f>
        <v>5 years</v>
      </c>
    </row>
    <row r="14" spans="1:9">
      <c r="A14" s="15">
        <v>38748</v>
      </c>
      <c r="B14" s="16">
        <v>0.09470000000000001</v>
      </c>
      <c r="C14" s="16">
        <v>0.08539999999999999</v>
      </c>
      <c r="D14" s="16">
        <v>0.0849</v>
      </c>
      <c r="E14" s="16">
        <v>0.08130000000000001</v>
      </c>
      <c r="F14" s="16">
        <v>0.0799</v>
      </c>
      <c r="G14" s="16">
        <v>0.08</v>
      </c>
      <c r="H14" s="16">
        <v>0.0789</v>
      </c>
      <c r="I14" s="17" t="str">
        <f>IFERROR(INDEX($B$1:$H$1,MATCH(MIN(B14:H14),B14:H14,0)),"")</f>
        <v>5 years</v>
      </c>
    </row>
    <row r="15" spans="1:9">
      <c r="A15" s="15">
        <v>38776</v>
      </c>
      <c r="B15" s="16">
        <v>0.09470000000000001</v>
      </c>
      <c r="C15" s="16">
        <v>0.0843</v>
      </c>
      <c r="D15" s="16">
        <v>0.0839</v>
      </c>
      <c r="E15" s="16">
        <v>0.07969999999999999</v>
      </c>
      <c r="F15" s="16">
        <v>0.07829999999999999</v>
      </c>
      <c r="G15" s="16">
        <v>0.07870000000000001</v>
      </c>
      <c r="H15" s="16">
        <v>0.07679999999999999</v>
      </c>
      <c r="I15" s="17" t="str">
        <f>IFERROR(INDEX($B$1:$H$1,MATCH(MIN(B15:H15),B15:H15,0)),"")</f>
        <v>5 years</v>
      </c>
    </row>
    <row r="16" spans="1:9">
      <c r="A16" s="15">
        <v>38807</v>
      </c>
      <c r="B16" s="16">
        <v>0.09470000000000001</v>
      </c>
      <c r="C16" s="16">
        <v>0.0843</v>
      </c>
      <c r="D16" s="16">
        <v>0.0832</v>
      </c>
      <c r="E16" s="16">
        <v>0.0784</v>
      </c>
      <c r="F16" s="16">
        <v>0.0776</v>
      </c>
      <c r="G16" s="16">
        <v>0.07769999999999999</v>
      </c>
      <c r="H16" s="16">
        <v>0.07629999999999999</v>
      </c>
      <c r="I16" s="17" t="str">
        <f>IFERROR(INDEX($B$1:$H$1,MATCH(MIN(B16:H16),B16:H16,0)),"")</f>
        <v>5 years</v>
      </c>
    </row>
    <row r="17" spans="1:9">
      <c r="A17" s="15">
        <v>38837</v>
      </c>
      <c r="B17" s="16">
        <v>0.09470000000000001</v>
      </c>
      <c r="C17" s="16">
        <v>0.0827</v>
      </c>
      <c r="D17" s="16">
        <v>0.08199999999999999</v>
      </c>
      <c r="E17" s="16">
        <v>0.0775</v>
      </c>
      <c r="F17" s="16">
        <v>0.07679999999999999</v>
      </c>
      <c r="G17" s="16">
        <v>0.0765</v>
      </c>
      <c r="H17" s="16">
        <v>0.0761</v>
      </c>
      <c r="I17" s="17" t="str">
        <f>IFERROR(INDEX($B$1:$H$1,MATCH(MIN(B17:H17),B17:H17,0)),"")</f>
        <v>5 years</v>
      </c>
    </row>
    <row r="18" spans="1:9">
      <c r="A18" s="15">
        <v>38868</v>
      </c>
      <c r="B18" s="16">
        <v>0.09470000000000001</v>
      </c>
      <c r="C18" s="16">
        <v>0.08289999999999999</v>
      </c>
      <c r="D18" s="16">
        <v>0.0825</v>
      </c>
      <c r="E18" s="16">
        <v>0.07919999999999999</v>
      </c>
      <c r="F18" s="16">
        <v>0.07820000000000001</v>
      </c>
      <c r="G18" s="16">
        <v>0.0781</v>
      </c>
      <c r="H18" s="16">
        <v>0.07769999999999999</v>
      </c>
      <c r="I18" s="17" t="str">
        <f>IFERROR(INDEX($B$1:$H$1,MATCH(MIN(B18:H18),B18:H18,0)),"")</f>
        <v>5 years</v>
      </c>
    </row>
    <row r="19" spans="1:9">
      <c r="A19" s="15">
        <v>38898</v>
      </c>
      <c r="B19" s="16">
        <v>0.09470000000000001</v>
      </c>
      <c r="C19" s="16">
        <v>0.08410000000000001</v>
      </c>
      <c r="D19" s="16">
        <v>0.0833</v>
      </c>
      <c r="E19" s="16">
        <v>0.07969999999999999</v>
      </c>
      <c r="F19" s="16">
        <v>0.0796</v>
      </c>
      <c r="G19" s="16">
        <v>0.0789</v>
      </c>
      <c r="H19" s="16">
        <v>0.0784</v>
      </c>
      <c r="I19" s="17" t="str">
        <f>IFERROR(INDEX($B$1:$H$1,MATCH(MIN(B19:H19),B19:H19,0)),"")</f>
        <v>5 years</v>
      </c>
    </row>
    <row r="20" spans="1:9">
      <c r="A20" s="15">
        <v>38929</v>
      </c>
      <c r="B20" s="16">
        <v>0.09470000000000001</v>
      </c>
      <c r="C20" s="16">
        <v>0.0849</v>
      </c>
      <c r="D20" s="16">
        <v>0.08449999999999999</v>
      </c>
      <c r="E20" s="16">
        <v>0.08210000000000001</v>
      </c>
      <c r="F20" s="16">
        <v>0.0814</v>
      </c>
      <c r="G20" s="16">
        <v>0.08070000000000001</v>
      </c>
      <c r="H20" s="16">
        <v>0.0794</v>
      </c>
      <c r="I20" s="17" t="str">
        <f>IFERROR(INDEX($B$1:$H$1,MATCH(MIN(B20:H20),B20:H20,0)),"")</f>
        <v>5 years</v>
      </c>
    </row>
    <row r="21" spans="1:9">
      <c r="A21" s="15">
        <v>38960</v>
      </c>
      <c r="B21" s="16">
        <v>0.0946</v>
      </c>
      <c r="C21" s="16">
        <v>0.0848</v>
      </c>
      <c r="D21" s="16">
        <v>0.0842</v>
      </c>
      <c r="E21" s="16">
        <v>0.08130000000000001</v>
      </c>
      <c r="F21" s="16">
        <v>0.08</v>
      </c>
      <c r="G21" s="16">
        <v>0.0795</v>
      </c>
      <c r="H21" s="16">
        <v>0.0786</v>
      </c>
      <c r="I21" s="17" t="str">
        <f>IFERROR(INDEX($B$1:$H$1,MATCH(MIN(B21:H21),B21:H21,0)),"")</f>
        <v>5 years</v>
      </c>
    </row>
    <row r="22" spans="1:9">
      <c r="A22" s="15">
        <v>38990</v>
      </c>
      <c r="B22" s="16">
        <v>0.0946</v>
      </c>
      <c r="C22" s="16">
        <v>0.0839</v>
      </c>
      <c r="D22" s="16">
        <v>0.0834</v>
      </c>
      <c r="E22" s="16">
        <v>0.0803</v>
      </c>
      <c r="F22" s="16">
        <v>0.0791</v>
      </c>
      <c r="G22" s="16">
        <v>0.0788</v>
      </c>
      <c r="H22" s="16">
        <v>0.07690000000000001</v>
      </c>
      <c r="I22" s="17" t="str">
        <f>IFERROR(INDEX($B$1:$H$1,MATCH(MIN(B22:H22),B22:H22,0)),"")</f>
        <v>5 years</v>
      </c>
    </row>
    <row r="23" spans="1:9">
      <c r="A23" s="15">
        <v>39021</v>
      </c>
      <c r="B23" s="16">
        <v>0.0946</v>
      </c>
      <c r="C23" s="16">
        <v>0.08400000000000001</v>
      </c>
      <c r="D23" s="16">
        <v>0.0837</v>
      </c>
      <c r="E23" s="16">
        <v>0.0806</v>
      </c>
      <c r="F23" s="16">
        <v>0.0795</v>
      </c>
      <c r="G23" s="16">
        <v>0.0789</v>
      </c>
      <c r="H23" s="16">
        <v>0.0775</v>
      </c>
      <c r="I23" s="17" t="str">
        <f>IFERROR(INDEX($B$1:$H$1,MATCH(MIN(B23:H23),B23:H23,0)),"")</f>
        <v>5 years</v>
      </c>
    </row>
    <row r="24" spans="1:9">
      <c r="A24" s="15">
        <v>39051</v>
      </c>
      <c r="B24" s="16">
        <v>0.0946</v>
      </c>
      <c r="C24" s="16">
        <v>0.08380000000000001</v>
      </c>
      <c r="D24" s="16">
        <v>0.08380000000000001</v>
      </c>
      <c r="E24" s="16">
        <v>0.0808</v>
      </c>
      <c r="F24" s="16">
        <v>0.0796</v>
      </c>
      <c r="G24" s="16">
        <v>0.0795</v>
      </c>
      <c r="H24" s="16">
        <v>0.0781</v>
      </c>
      <c r="I24" s="17" t="str">
        <f>IFERROR(INDEX($B$1:$H$1,MATCH(MIN(B24:H24),B24:H24,0)),"")</f>
        <v>5 years</v>
      </c>
    </row>
    <row r="25" spans="1:9">
      <c r="A25" s="15">
        <v>39082</v>
      </c>
      <c r="B25" s="16">
        <v>0.0946</v>
      </c>
      <c r="C25" s="16">
        <v>0.08439999999999999</v>
      </c>
      <c r="D25" s="16">
        <v>0.0849</v>
      </c>
      <c r="E25" s="16">
        <v>0.0818</v>
      </c>
      <c r="F25" s="16">
        <v>0.07980000000000001</v>
      </c>
      <c r="G25" s="16">
        <v>0.07969999999999999</v>
      </c>
      <c r="H25" s="16">
        <v>0.0784</v>
      </c>
      <c r="I25" s="17" t="str">
        <f>IFERROR(INDEX($B$1:$H$1,MATCH(MIN(B25:H25),B25:H25,0)),"")</f>
        <v>5 years</v>
      </c>
    </row>
    <row r="26" spans="1:9">
      <c r="A26" s="15">
        <v>39113</v>
      </c>
      <c r="B26" s="16">
        <v>0.0946</v>
      </c>
      <c r="C26" s="16">
        <v>0.0848</v>
      </c>
      <c r="D26" s="16">
        <v>0.08529999999999999</v>
      </c>
      <c r="E26" s="16">
        <v>0.0823</v>
      </c>
      <c r="F26" s="16">
        <v>0.0808</v>
      </c>
      <c r="G26" s="16">
        <v>0.0806</v>
      </c>
      <c r="H26" s="16">
        <v>0.0788</v>
      </c>
      <c r="I26" s="17" t="str">
        <f>IFERROR(INDEX($B$1:$H$1,MATCH(MIN(B26:H26),B26:H26,0)),"")</f>
        <v>5 years</v>
      </c>
    </row>
    <row r="27" spans="1:9">
      <c r="A27" s="15">
        <v>39141</v>
      </c>
      <c r="B27" s="16">
        <v>0.0946</v>
      </c>
      <c r="C27" s="16">
        <v>0.08539999999999999</v>
      </c>
      <c r="D27" s="16">
        <v>0.0862</v>
      </c>
      <c r="E27" s="16">
        <v>0.08380000000000001</v>
      </c>
      <c r="F27" s="16">
        <v>0.08220000000000001</v>
      </c>
      <c r="G27" s="16">
        <v>0.08119999999999999</v>
      </c>
      <c r="H27" s="16">
        <v>0.07969999999999999</v>
      </c>
      <c r="I27" s="17" t="str">
        <f>IFERROR(INDEX($B$1:$H$1,MATCH(MIN(B27:H27),B27:H27,0)),"")</f>
        <v>5 years</v>
      </c>
    </row>
    <row r="28" spans="1:9">
      <c r="A28" s="15">
        <v>39172</v>
      </c>
      <c r="B28" s="16">
        <v>0.0969</v>
      </c>
      <c r="C28" s="16">
        <v>0.0882</v>
      </c>
      <c r="D28" s="16">
        <v>0.08789999999999999</v>
      </c>
      <c r="E28" s="16">
        <v>0.08710000000000001</v>
      </c>
      <c r="F28" s="16">
        <v>0.0864</v>
      </c>
      <c r="G28" s="16">
        <v>0.08539999999999999</v>
      </c>
      <c r="H28" s="16">
        <v>0.0837</v>
      </c>
      <c r="I28" s="17" t="str">
        <f>IFERROR(INDEX($B$1:$H$1,MATCH(MIN(B28:H28),B28:H28,0)),"")</f>
        <v>5 years</v>
      </c>
    </row>
    <row r="29" spans="1:9">
      <c r="A29" s="15">
        <v>39202</v>
      </c>
      <c r="B29" s="16">
        <v>0.09720000000000001</v>
      </c>
      <c r="C29" s="16">
        <v>0.08869999999999999</v>
      </c>
      <c r="D29" s="16">
        <v>0.0888</v>
      </c>
      <c r="E29" s="16">
        <v>0.0883</v>
      </c>
      <c r="F29" s="16">
        <v>0.0873</v>
      </c>
      <c r="G29" s="16">
        <v>0.08650000000000001</v>
      </c>
      <c r="H29" s="16">
        <v>0.0861</v>
      </c>
      <c r="I29" s="17" t="str">
        <f>IFERROR(INDEX($B$1:$H$1,MATCH(MIN(B29:H29),B29:H29,0)),"")</f>
        <v>5 years</v>
      </c>
    </row>
    <row r="30" spans="1:9">
      <c r="A30" s="15">
        <v>39233</v>
      </c>
      <c r="B30" s="16">
        <v>0.09910000000000001</v>
      </c>
      <c r="C30" s="16">
        <v>0.08939999999999999</v>
      </c>
      <c r="D30" s="16">
        <v>0.08939999999999999</v>
      </c>
      <c r="E30" s="16">
        <v>0.08839999999999999</v>
      </c>
      <c r="F30" s="16">
        <v>0.08740000000000001</v>
      </c>
      <c r="G30" s="16">
        <v>0.0866</v>
      </c>
      <c r="H30" s="16">
        <v>0.0863</v>
      </c>
      <c r="I30" s="17" t="str">
        <f>IFERROR(INDEX($B$1:$H$1,MATCH(MIN(B30:H30),B30:H30,0)),"")</f>
        <v>5 years</v>
      </c>
    </row>
    <row r="31" spans="1:9">
      <c r="A31" s="15">
        <v>39263</v>
      </c>
      <c r="B31" s="16">
        <v>0.1014</v>
      </c>
      <c r="C31" s="16">
        <v>0.0924</v>
      </c>
      <c r="D31" s="16">
        <v>0.09230000000000001</v>
      </c>
      <c r="E31" s="16">
        <v>0.0916</v>
      </c>
      <c r="F31" s="16">
        <v>0.09050000000000001</v>
      </c>
      <c r="G31" s="16">
        <v>0.0901</v>
      </c>
      <c r="H31" s="16">
        <v>0.0892</v>
      </c>
      <c r="I31" s="17" t="str">
        <f>IFERROR(INDEX($B$1:$H$1,MATCH(MIN(B31:H31),B31:H31,0)),"")</f>
        <v>5 years</v>
      </c>
    </row>
    <row r="32" spans="1:9">
      <c r="A32" s="15">
        <v>39294</v>
      </c>
      <c r="B32" s="16">
        <v>0.1019</v>
      </c>
      <c r="C32" s="16">
        <v>0.0926</v>
      </c>
      <c r="D32" s="16">
        <v>0.0926</v>
      </c>
      <c r="E32" s="16">
        <v>0.0919</v>
      </c>
      <c r="F32" s="16">
        <v>0.0898</v>
      </c>
      <c r="G32" s="16">
        <v>0.0898</v>
      </c>
      <c r="H32" s="16">
        <v>0.0891</v>
      </c>
      <c r="I32" s="17" t="str">
        <f>IFERROR(INDEX($B$1:$H$1,MATCH(MIN(B32:H32),B32:H32,0)),"")</f>
        <v>5 years</v>
      </c>
    </row>
    <row r="33" spans="1:9">
      <c r="A33" s="15">
        <v>39325</v>
      </c>
      <c r="B33" s="16">
        <v>0.104</v>
      </c>
      <c r="C33" s="16">
        <v>0.0944</v>
      </c>
      <c r="D33" s="16">
        <v>0.0941</v>
      </c>
      <c r="E33" s="16">
        <v>0.0922</v>
      </c>
      <c r="F33" s="16">
        <v>0.09050000000000001</v>
      </c>
      <c r="G33" s="16">
        <v>0.0898</v>
      </c>
      <c r="H33" s="16">
        <v>0.0891</v>
      </c>
      <c r="I33" s="17" t="str">
        <f>IFERROR(INDEX($B$1:$H$1,MATCH(MIN(B33:H33),B33:H33,0)),"")</f>
        <v>5 years</v>
      </c>
    </row>
    <row r="34" spans="1:9">
      <c r="A34" s="15">
        <v>39355</v>
      </c>
      <c r="B34" s="16">
        <v>0.104</v>
      </c>
      <c r="C34" s="16">
        <v>0.0953</v>
      </c>
      <c r="D34" s="16">
        <v>0.09449999999999999</v>
      </c>
      <c r="E34" s="16">
        <v>0.09119999999999999</v>
      </c>
      <c r="F34" s="16">
        <v>0.08749999999999999</v>
      </c>
      <c r="G34" s="16">
        <v>0.08929999999999999</v>
      </c>
      <c r="H34" s="16">
        <v>0.0863</v>
      </c>
      <c r="I34" s="17" t="str">
        <f>IFERROR(INDEX($B$1:$H$1,MATCH(MIN(B34:H34),B34:H34,0)),"")</f>
        <v>5 years</v>
      </c>
    </row>
    <row r="35" spans="1:9">
      <c r="A35" s="15">
        <v>39386</v>
      </c>
      <c r="B35" s="16">
        <v>0.104</v>
      </c>
      <c r="C35" s="16">
        <v>0.0953</v>
      </c>
      <c r="D35" s="16">
        <v>0.0944</v>
      </c>
      <c r="E35" s="16">
        <v>0.09140000000000001</v>
      </c>
      <c r="F35" s="16">
        <v>0.08960000000000001</v>
      </c>
      <c r="G35" s="16">
        <v>0.08929999999999999</v>
      </c>
      <c r="H35" s="16">
        <v>0.08779999999999999</v>
      </c>
      <c r="I35" s="17" t="str">
        <f>IFERROR(INDEX($B$1:$H$1,MATCH(MIN(B35:H35),B35:H35,0)),"")</f>
        <v>5 years</v>
      </c>
    </row>
    <row r="36" spans="1:9">
      <c r="A36" s="15">
        <v>39416</v>
      </c>
      <c r="B36" s="16">
        <v>0.104</v>
      </c>
      <c r="C36" s="16">
        <v>0.09539999999999998</v>
      </c>
      <c r="D36" s="16">
        <v>0.09570000000000001</v>
      </c>
      <c r="E36" s="16">
        <v>0.0926</v>
      </c>
      <c r="F36" s="16">
        <v>0.091</v>
      </c>
      <c r="G36" s="16">
        <v>0.0902</v>
      </c>
      <c r="H36" s="16">
        <v>0.0885</v>
      </c>
      <c r="I36" s="17" t="str">
        <f>IFERROR(INDEX($B$1:$H$1,MATCH(MIN(B36:H36),B36:H36,0)),"")</f>
        <v>5 years</v>
      </c>
    </row>
    <row r="37" spans="1:9">
      <c r="A37" s="15">
        <v>39447</v>
      </c>
      <c r="B37" s="16">
        <v>0.104</v>
      </c>
      <c r="C37" s="16">
        <v>0.09570000000000001</v>
      </c>
      <c r="D37" s="16">
        <v>0.09630000000000001</v>
      </c>
      <c r="E37" s="16">
        <v>0.09380000000000001</v>
      </c>
      <c r="F37" s="16">
        <v>0.0919</v>
      </c>
      <c r="G37" s="16">
        <v>0.09050000000000001</v>
      </c>
      <c r="H37" s="16">
        <v>0.08929999999999999</v>
      </c>
      <c r="I37" s="17" t="str">
        <f>IFERROR(INDEX($B$1:$H$1,MATCH(MIN(B37:H37),B37:H37,0)),"")</f>
        <v>5 years</v>
      </c>
    </row>
    <row r="38" spans="1:9">
      <c r="A38" s="15">
        <v>39478</v>
      </c>
      <c r="B38" s="16">
        <v>0.1041</v>
      </c>
      <c r="C38" s="16">
        <v>0.0974</v>
      </c>
      <c r="D38" s="16">
        <v>0.0978</v>
      </c>
      <c r="E38" s="16">
        <v>0.095</v>
      </c>
      <c r="F38" s="16">
        <v>0.0929</v>
      </c>
      <c r="G38" s="16">
        <v>0.09140000000000001</v>
      </c>
      <c r="H38" s="16">
        <v>0.08939999999999999</v>
      </c>
      <c r="I38" s="17" t="str">
        <f>IFERROR(INDEX($B$1:$H$1,MATCH(MIN(B38:H38),B38:H38,0)),"")</f>
        <v>5 years</v>
      </c>
    </row>
    <row r="39" spans="1:9">
      <c r="A39" s="15">
        <v>39507</v>
      </c>
      <c r="B39" s="16">
        <v>0.1051</v>
      </c>
      <c r="C39" s="16">
        <v>0.0978</v>
      </c>
      <c r="D39" s="16">
        <v>0.09820000000000001</v>
      </c>
      <c r="E39" s="16">
        <v>0.0955</v>
      </c>
      <c r="F39" s="16">
        <v>0.0935</v>
      </c>
      <c r="G39" s="16">
        <v>0.09210000000000002</v>
      </c>
      <c r="H39" s="16">
        <v>0.09050000000000001</v>
      </c>
      <c r="I39" s="17" t="str">
        <f>IFERROR(INDEX($B$1:$H$1,MATCH(MIN(B39:H39),B39:H39,0)),"")</f>
        <v>5 years</v>
      </c>
    </row>
    <row r="40" spans="1:9">
      <c r="A40" s="15">
        <v>39538</v>
      </c>
      <c r="B40" s="16">
        <v>0.1056</v>
      </c>
      <c r="C40" s="16">
        <v>0.0984</v>
      </c>
      <c r="D40" s="16">
        <v>0.099</v>
      </c>
      <c r="E40" s="16">
        <v>0.09630000000000001</v>
      </c>
      <c r="F40" s="16">
        <v>0.0946</v>
      </c>
      <c r="G40" s="16">
        <v>0.0935</v>
      </c>
      <c r="H40" s="16">
        <v>0.09269999999999999</v>
      </c>
      <c r="I40" s="17" t="str">
        <f>IFERROR(INDEX($B$1:$H$1,MATCH(MIN(B40:H40),B40:H40,0)),"")</f>
        <v>5 years</v>
      </c>
    </row>
    <row r="41" spans="1:9">
      <c r="A41" s="15">
        <v>39568</v>
      </c>
      <c r="B41" s="16">
        <v>0.1056</v>
      </c>
      <c r="C41" s="16">
        <v>0.0993</v>
      </c>
      <c r="D41" s="16">
        <v>0.0989</v>
      </c>
      <c r="E41" s="16">
        <v>0.09619999999999999</v>
      </c>
      <c r="F41" s="16">
        <v>0.09609999999999999</v>
      </c>
      <c r="G41" s="16">
        <v>0.0956</v>
      </c>
      <c r="H41" s="16">
        <v>0.095</v>
      </c>
      <c r="I41" s="17" t="str">
        <f>IFERROR(INDEX($B$1:$H$1,MATCH(MIN(B41:H41),B41:H41,0)),"")</f>
        <v>5 years</v>
      </c>
    </row>
    <row r="42" spans="1:9">
      <c r="A42" s="15">
        <v>39599</v>
      </c>
      <c r="B42" s="16">
        <v>0.1072</v>
      </c>
      <c r="C42" s="16">
        <v>0.098</v>
      </c>
      <c r="D42" s="16">
        <v>0.096</v>
      </c>
      <c r="E42" s="16">
        <v>0.0934</v>
      </c>
      <c r="F42" s="16">
        <v>0.0935</v>
      </c>
      <c r="G42" s="16">
        <v>0.09329999999999999</v>
      </c>
      <c r="H42" s="16">
        <v>0.09329999999999999</v>
      </c>
      <c r="I42" s="17" t="str">
        <f>IFERROR(INDEX($B$1:$H$1,MATCH(MIN(B42:H42),B42:H42,0)),"")</f>
        <v>4 years</v>
      </c>
    </row>
    <row r="43" spans="1:9">
      <c r="A43" s="15">
        <v>39629</v>
      </c>
      <c r="B43" s="16">
        <v>0.1072</v>
      </c>
      <c r="C43" s="16">
        <v>0.0975</v>
      </c>
      <c r="D43" s="16">
        <v>0.09449999999999999</v>
      </c>
      <c r="E43" s="16">
        <v>0.092</v>
      </c>
      <c r="F43" s="16">
        <v>0.09119999999999999</v>
      </c>
      <c r="G43" s="16">
        <v>0.09130000000000001</v>
      </c>
      <c r="H43" s="16">
        <v>0.09130000000000001</v>
      </c>
      <c r="I43" s="17" t="str">
        <f>IFERROR(INDEX($B$1:$H$1,MATCH(MIN(B43:H43),B43:H43,0)),"")</f>
        <v>3 years</v>
      </c>
    </row>
    <row r="44" spans="1:9">
      <c r="A44" s="15">
        <v>39660</v>
      </c>
      <c r="B44" s="16">
        <v>0.1072</v>
      </c>
      <c r="C44" s="16">
        <v>0.0974</v>
      </c>
      <c r="D44" s="16">
        <v>0.09300000000000001</v>
      </c>
      <c r="E44" s="16">
        <v>0.09029999999999999</v>
      </c>
      <c r="F44" s="16">
        <v>0.0907</v>
      </c>
      <c r="G44" s="16">
        <v>0.0911</v>
      </c>
      <c r="H44" s="16">
        <v>0.09130000000000001</v>
      </c>
      <c r="I44" s="17" t="str">
        <f>IFERROR(INDEX($B$1:$H$1,MATCH(MIN(B44:H44),B44:H44,0)),"")</f>
        <v>2 years</v>
      </c>
    </row>
    <row r="45" spans="1:9">
      <c r="A45" s="15">
        <v>39691</v>
      </c>
      <c r="B45" s="16">
        <v>0.1072</v>
      </c>
      <c r="C45" s="16">
        <v>0.0973</v>
      </c>
      <c r="D45" s="16">
        <v>0.092</v>
      </c>
      <c r="E45" s="16">
        <v>0.08960000000000001</v>
      </c>
      <c r="F45" s="16">
        <v>0.09050000000000001</v>
      </c>
      <c r="G45" s="16">
        <v>0.0911</v>
      </c>
      <c r="H45" s="16">
        <v>0.09130000000000001</v>
      </c>
      <c r="I45" s="17" t="str">
        <f>IFERROR(INDEX($B$1:$H$1,MATCH(MIN(B45:H45),B45:H45,0)),"")</f>
        <v>2 years</v>
      </c>
    </row>
    <row r="46" spans="1:9">
      <c r="A46" s="15">
        <v>39721</v>
      </c>
      <c r="B46" s="16">
        <v>0.1026</v>
      </c>
      <c r="C46" s="16">
        <v>0.0931</v>
      </c>
      <c r="D46" s="16">
        <v>0.08960000000000001</v>
      </c>
      <c r="E46" s="16">
        <v>0.0862</v>
      </c>
      <c r="F46" s="16">
        <v>0.08710000000000001</v>
      </c>
      <c r="G46" s="16">
        <v>0.08929999999999999</v>
      </c>
      <c r="H46" s="16">
        <v>0.08929999999999999</v>
      </c>
      <c r="I46" s="17" t="str">
        <f>IFERROR(INDEX($B$1:$H$1,MATCH(MIN(B46:H46),B46:H46,0)),"")</f>
        <v>2 years</v>
      </c>
    </row>
    <row r="47" spans="1:9">
      <c r="A47" s="15">
        <v>39752</v>
      </c>
      <c r="B47" s="16">
        <v>0.09619999999999999</v>
      </c>
      <c r="C47" s="16">
        <v>0.08470000000000001</v>
      </c>
      <c r="D47" s="16">
        <v>0.08169999999999999</v>
      </c>
      <c r="E47" s="16">
        <v>0.0824</v>
      </c>
      <c r="F47" s="16">
        <v>0.08449999999999999</v>
      </c>
      <c r="G47" s="16">
        <v>0.08689999999999999</v>
      </c>
      <c r="H47" s="16">
        <v>0.08740000000000001</v>
      </c>
      <c r="I47" s="17" t="str">
        <f>IFERROR(INDEX($B$1:$H$1,MATCH(MIN(B47:H47),B47:H47,0)),"")</f>
        <v>1 year</v>
      </c>
    </row>
    <row r="48" spans="1:9">
      <c r="A48" s="15">
        <v>39782</v>
      </c>
      <c r="B48" s="16">
        <v>0.0882</v>
      </c>
      <c r="C48" s="16">
        <v>0.0735</v>
      </c>
      <c r="D48" s="16">
        <v>0.0728</v>
      </c>
      <c r="E48" s="16">
        <v>0.0746</v>
      </c>
      <c r="F48" s="16">
        <v>0.0771</v>
      </c>
      <c r="G48" s="16">
        <v>0.0791</v>
      </c>
      <c r="H48" s="16">
        <v>0.0793</v>
      </c>
      <c r="I48" s="17" t="str">
        <f>IFERROR(INDEX($B$1:$H$1,MATCH(MIN(B48:H48),B48:H48,0)),"")</f>
        <v>1 year</v>
      </c>
    </row>
    <row r="49" spans="1:9">
      <c r="A49" s="15">
        <v>39813</v>
      </c>
      <c r="B49" s="16">
        <v>0.0788</v>
      </c>
      <c r="C49" s="16">
        <v>0.06950000000000001</v>
      </c>
      <c r="D49" s="16">
        <v>0.0689</v>
      </c>
      <c r="E49" s="16">
        <v>0.07099999999999999</v>
      </c>
      <c r="F49" s="16">
        <v>0.0728</v>
      </c>
      <c r="G49" s="16">
        <v>0.0747</v>
      </c>
      <c r="H49" s="16">
        <v>0.07539999999999999</v>
      </c>
      <c r="I49" s="17" t="str">
        <f>IFERROR(INDEX($B$1:$H$1,MATCH(MIN(B49:H49),B49:H49,0)),"")</f>
        <v>1 year</v>
      </c>
    </row>
    <row r="50" spans="1:9">
      <c r="A50" s="15">
        <v>39844</v>
      </c>
      <c r="B50" s="16">
        <v>0.0717</v>
      </c>
      <c r="C50" s="16">
        <v>0.0635</v>
      </c>
      <c r="D50" s="16">
        <v>0.06150000000000001</v>
      </c>
      <c r="E50" s="16">
        <v>0.06309999999999999</v>
      </c>
      <c r="F50" s="16">
        <v>0.0653</v>
      </c>
      <c r="G50" s="16">
        <v>0.0675</v>
      </c>
      <c r="H50" s="16">
        <v>0.06860000000000001</v>
      </c>
      <c r="I50" s="17" t="str">
        <f>IFERROR(INDEX($B$1:$H$1,MATCH(MIN(B50:H50),B50:H50,0)),"")</f>
        <v>1 year</v>
      </c>
    </row>
    <row r="51" spans="1:9">
      <c r="A51" s="15">
        <v>39872</v>
      </c>
      <c r="B51" s="16">
        <v>0.0672</v>
      </c>
      <c r="C51" s="16">
        <v>0.0587</v>
      </c>
      <c r="D51" s="16">
        <v>0.0578</v>
      </c>
      <c r="E51" s="16">
        <v>0.0593</v>
      </c>
      <c r="F51" s="16">
        <v>0.0611</v>
      </c>
      <c r="G51" s="16">
        <v>0.0649</v>
      </c>
      <c r="H51" s="16">
        <v>0.0655</v>
      </c>
      <c r="I51" s="17" t="str">
        <f>IFERROR(INDEX($B$1:$H$1,MATCH(MIN(B51:H51),B51:H51,0)),"")</f>
        <v>1 year</v>
      </c>
    </row>
    <row r="52" spans="1:9">
      <c r="A52" s="15">
        <v>39903</v>
      </c>
      <c r="B52" s="16">
        <v>0.06370000000000001</v>
      </c>
      <c r="C52" s="16">
        <v>0.0578</v>
      </c>
      <c r="D52" s="16">
        <v>0.0576</v>
      </c>
      <c r="E52" s="16">
        <v>0.0617</v>
      </c>
      <c r="F52" s="16">
        <v>0.066</v>
      </c>
      <c r="G52" s="16">
        <v>0.07150000000000001</v>
      </c>
      <c r="H52" s="16">
        <v>0.07389999999999999</v>
      </c>
      <c r="I52" s="17" t="str">
        <f>IFERROR(INDEX($B$1:$H$1,MATCH(MIN(B52:H52),B52:H52,0)),"")</f>
        <v>1 year</v>
      </c>
    </row>
    <row r="53" spans="1:9">
      <c r="A53" s="15">
        <v>39933</v>
      </c>
      <c r="B53" s="16">
        <v>0.06370000000000001</v>
      </c>
      <c r="C53" s="16">
        <v>0.0572</v>
      </c>
      <c r="D53" s="16">
        <v>0.0576</v>
      </c>
      <c r="E53" s="16">
        <v>0.0624</v>
      </c>
      <c r="F53" s="16">
        <v>0.06759999999999999</v>
      </c>
      <c r="G53" s="16">
        <v>0.0726</v>
      </c>
      <c r="H53" s="16">
        <v>0.07519999999999999</v>
      </c>
      <c r="I53" s="17" t="str">
        <f>IFERROR(INDEX($B$1:$H$1,MATCH(MIN(B53:H53),B53:H53,0)),"")</f>
        <v>6 months</v>
      </c>
    </row>
    <row r="54" spans="1:9">
      <c r="A54" s="15">
        <v>39964</v>
      </c>
      <c r="B54" s="16">
        <v>0.06370000000000001</v>
      </c>
      <c r="C54" s="16">
        <v>0.0553</v>
      </c>
      <c r="D54" s="16">
        <v>0.0559</v>
      </c>
      <c r="E54" s="16">
        <v>0.0623</v>
      </c>
      <c r="F54" s="16">
        <v>0.0682</v>
      </c>
      <c r="G54" s="16">
        <v>0.0736</v>
      </c>
      <c r="H54" s="16">
        <v>0.07690000000000001</v>
      </c>
      <c r="I54" s="17" t="str">
        <f>IFERROR(INDEX($B$1:$H$1,MATCH(MIN(B54:H54),B54:H54,0)),"")</f>
        <v>6 months</v>
      </c>
    </row>
    <row r="55" spans="1:9">
      <c r="A55" s="15">
        <v>39994</v>
      </c>
      <c r="B55" s="16">
        <v>0.06370000000000001</v>
      </c>
      <c r="C55" s="16">
        <v>0.0549</v>
      </c>
      <c r="D55" s="16">
        <v>0.0561</v>
      </c>
      <c r="E55" s="16">
        <v>0.0626</v>
      </c>
      <c r="F55" s="16">
        <v>0.06950000000000001</v>
      </c>
      <c r="G55" s="16">
        <v>0.07490000000000001</v>
      </c>
      <c r="H55" s="16">
        <v>0.0795</v>
      </c>
      <c r="I55" s="17" t="str">
        <f>IFERROR(INDEX($B$1:$H$1,MATCH(MIN(B55:H55),B55:H55,0)),"")</f>
        <v>6 months</v>
      </c>
    </row>
    <row r="56" spans="1:9">
      <c r="A56" s="15">
        <v>40025</v>
      </c>
      <c r="B56" s="16">
        <v>0.06370000000000001</v>
      </c>
      <c r="C56" s="16">
        <v>0.0548</v>
      </c>
      <c r="D56" s="16">
        <v>0.0561</v>
      </c>
      <c r="E56" s="16">
        <v>0.063</v>
      </c>
      <c r="F56" s="16">
        <v>0.07000000000000001</v>
      </c>
      <c r="G56" s="16">
        <v>0.07539999999999999</v>
      </c>
      <c r="H56" s="16">
        <v>0.08</v>
      </c>
      <c r="I56" s="17" t="str">
        <f>IFERROR(INDEX($B$1:$H$1,MATCH(MIN(B56:H56),B56:H56,0)),"")</f>
        <v>6 months</v>
      </c>
    </row>
    <row r="57" spans="1:9">
      <c r="A57" s="15">
        <v>40056</v>
      </c>
      <c r="B57" s="16">
        <v>0.0633</v>
      </c>
      <c r="C57" s="16">
        <v>0.0549</v>
      </c>
      <c r="D57" s="16">
        <v>0.0565</v>
      </c>
      <c r="E57" s="16">
        <v>0.06519999999999999</v>
      </c>
      <c r="F57" s="16">
        <v>0.07440000000000001</v>
      </c>
      <c r="G57" s="16">
        <v>0.07980000000000001</v>
      </c>
      <c r="H57" s="16">
        <v>0.08310000000000001</v>
      </c>
      <c r="I57" s="17" t="str">
        <f>IFERROR(INDEX($B$1:$H$1,MATCH(MIN(B57:H57),B57:H57,0)),"")</f>
        <v>6 months</v>
      </c>
    </row>
    <row r="58" spans="1:9">
      <c r="A58" s="15">
        <v>40086</v>
      </c>
      <c r="B58" s="16">
        <v>0.0622</v>
      </c>
      <c r="C58" s="16">
        <v>0.0547</v>
      </c>
      <c r="D58" s="16">
        <v>0.0567</v>
      </c>
      <c r="E58" s="16">
        <v>0.06619999999999999</v>
      </c>
      <c r="F58" s="16">
        <v>0.075</v>
      </c>
      <c r="G58" s="16">
        <v>0.0808</v>
      </c>
      <c r="H58" s="16">
        <v>0.0842</v>
      </c>
      <c r="I58" s="17" t="str">
        <f>IFERROR(INDEX($B$1:$H$1,MATCH(MIN(B58:H58),B58:H58,0)),"")</f>
        <v>6 months</v>
      </c>
    </row>
    <row r="59" spans="1:9">
      <c r="A59" s="15">
        <v>40117</v>
      </c>
      <c r="B59" s="16">
        <v>0.06150000000000001</v>
      </c>
      <c r="C59" s="16">
        <v>0.0566</v>
      </c>
      <c r="D59" s="16">
        <v>0.0601</v>
      </c>
      <c r="E59" s="16">
        <v>0.0708</v>
      </c>
      <c r="F59" s="16">
        <v>0.07870000000000001</v>
      </c>
      <c r="G59" s="16">
        <v>0.08449999999999999</v>
      </c>
      <c r="H59" s="16">
        <v>0.0868</v>
      </c>
      <c r="I59" s="17" t="str">
        <f>IFERROR(INDEX($B$1:$H$1,MATCH(MIN(B59:H59),B59:H59,0)),"")</f>
        <v>6 months</v>
      </c>
    </row>
    <row r="60" spans="1:9">
      <c r="A60" s="15">
        <v>40147</v>
      </c>
      <c r="B60" s="16">
        <v>0.0607</v>
      </c>
      <c r="C60" s="16">
        <v>0.05769999999999999</v>
      </c>
      <c r="D60" s="16">
        <v>0.0608</v>
      </c>
      <c r="E60" s="16">
        <v>0.0712</v>
      </c>
      <c r="F60" s="16">
        <v>0.07870000000000001</v>
      </c>
      <c r="G60" s="16">
        <v>0.08470000000000001</v>
      </c>
      <c r="H60" s="16">
        <v>0.0868</v>
      </c>
      <c r="I60" s="17" t="str">
        <f>IFERROR(INDEX($B$1:$H$1,MATCH(MIN(B60:H60),B60:H60,0)),"")</f>
        <v>6 months</v>
      </c>
    </row>
    <row r="61" spans="1:9">
      <c r="A61" s="15">
        <v>40178</v>
      </c>
      <c r="B61" s="16">
        <v>0.0607</v>
      </c>
      <c r="C61" s="16">
        <v>0.0581</v>
      </c>
      <c r="D61" s="16">
        <v>0.0622</v>
      </c>
      <c r="E61" s="16">
        <v>0.0722</v>
      </c>
      <c r="F61" s="16">
        <v>0.0789</v>
      </c>
      <c r="G61" s="16">
        <v>0.08470000000000001</v>
      </c>
      <c r="H61" s="16">
        <v>0.0868</v>
      </c>
      <c r="I61" s="17" t="str">
        <f>IFERROR(INDEX($B$1:$H$1,MATCH(MIN(B61:H61),B61:H61,0)),"")</f>
        <v>6 months</v>
      </c>
    </row>
    <row r="62" spans="1:9">
      <c r="A62" s="15">
        <v>40209</v>
      </c>
      <c r="B62" s="16">
        <v>0.0607</v>
      </c>
      <c r="C62" s="16">
        <v>0.0581</v>
      </c>
      <c r="D62" s="16">
        <v>0.06179999999999999</v>
      </c>
      <c r="E62" s="16">
        <v>0.0722</v>
      </c>
      <c r="F62" s="16">
        <v>0.07870000000000001</v>
      </c>
      <c r="G62" s="16">
        <v>0.0843</v>
      </c>
      <c r="H62" s="16">
        <v>0.08650000000000001</v>
      </c>
      <c r="I62" s="17" t="str">
        <f>IFERROR(INDEX($B$1:$H$1,MATCH(MIN(B62:H62),B62:H62,0)),"")</f>
        <v>6 months</v>
      </c>
    </row>
    <row r="63" spans="1:9">
      <c r="A63" s="15">
        <v>40237</v>
      </c>
      <c r="B63" s="16">
        <v>0.05980000000000001</v>
      </c>
      <c r="C63" s="16">
        <v>0.0582</v>
      </c>
      <c r="D63" s="16">
        <v>0.0619</v>
      </c>
      <c r="E63" s="16">
        <v>0.0718</v>
      </c>
      <c r="F63" s="16">
        <v>0.0784</v>
      </c>
      <c r="G63" s="16">
        <v>0.0839</v>
      </c>
      <c r="H63" s="16">
        <v>0.0857</v>
      </c>
      <c r="I63" s="17" t="str">
        <f>IFERROR(INDEX($B$1:$H$1,MATCH(MIN(B63:H63),B63:H63,0)),"")</f>
        <v>6 months</v>
      </c>
    </row>
    <row r="64" spans="1:9">
      <c r="A64" s="15">
        <v>40268</v>
      </c>
      <c r="B64" s="16">
        <v>0.05980000000000001</v>
      </c>
      <c r="C64" s="16">
        <v>0.0582</v>
      </c>
      <c r="D64" s="16">
        <v>0.06179999999999999</v>
      </c>
      <c r="E64" s="16">
        <v>0.07150000000000001</v>
      </c>
      <c r="F64" s="16">
        <v>0.0779</v>
      </c>
      <c r="G64" s="16">
        <v>0.0828</v>
      </c>
      <c r="H64" s="16">
        <v>0.08470000000000001</v>
      </c>
      <c r="I64" s="17" t="str">
        <f>IFERROR(INDEX($B$1:$H$1,MATCH(MIN(B64:H64),B64:H64,0)),"")</f>
        <v>6 months</v>
      </c>
    </row>
    <row r="65" spans="1:9">
      <c r="A65" s="15">
        <v>40298</v>
      </c>
      <c r="B65" s="16">
        <v>0.05980000000000001</v>
      </c>
      <c r="C65" s="16">
        <v>0.05769999999999999</v>
      </c>
      <c r="D65" s="16">
        <v>0.0609</v>
      </c>
      <c r="E65" s="16">
        <v>0.0708</v>
      </c>
      <c r="F65" s="16">
        <v>0.0771</v>
      </c>
      <c r="G65" s="16">
        <v>0.08210000000000001</v>
      </c>
      <c r="H65" s="16">
        <v>0.0843</v>
      </c>
      <c r="I65" s="17" t="str">
        <f>IFERROR(INDEX($B$1:$H$1,MATCH(MIN(B65:H65),B65:H65,0)),"")</f>
        <v>6 months</v>
      </c>
    </row>
    <row r="66" spans="1:9">
      <c r="A66" s="15">
        <v>40329</v>
      </c>
      <c r="B66" s="16">
        <v>0.05980000000000001</v>
      </c>
      <c r="C66" s="16">
        <v>0.0584</v>
      </c>
      <c r="D66" s="16">
        <v>0.0623</v>
      </c>
      <c r="E66" s="16">
        <v>0.0718</v>
      </c>
      <c r="F66" s="16">
        <v>0.0766</v>
      </c>
      <c r="G66" s="16">
        <v>0.08130000000000001</v>
      </c>
      <c r="H66" s="16">
        <v>0.08400000000000001</v>
      </c>
      <c r="I66" s="17" t="str">
        <f>IFERROR(INDEX($B$1:$H$1,MATCH(MIN(B66:H66),B66:H66,0)),"")</f>
        <v>6 months</v>
      </c>
    </row>
    <row r="67" spans="1:9">
      <c r="A67" s="15">
        <v>40359</v>
      </c>
      <c r="B67" s="16">
        <v>0.0612</v>
      </c>
      <c r="C67" s="16">
        <v>0.05980000000000001</v>
      </c>
      <c r="D67" s="16">
        <v>0.0636</v>
      </c>
      <c r="E67" s="16">
        <v>0.0713</v>
      </c>
      <c r="F67" s="16">
        <v>0.07580000000000001</v>
      </c>
      <c r="G67" s="16">
        <v>0.08019999999999999</v>
      </c>
      <c r="H67" s="16">
        <v>0.083</v>
      </c>
      <c r="I67" s="17" t="str">
        <f>IFERROR(INDEX($B$1:$H$1,MATCH(MIN(B67:H67),B67:H67,0)),"")</f>
        <v>6 months</v>
      </c>
    </row>
    <row r="68" spans="1:9">
      <c r="A68" s="15">
        <v>40390</v>
      </c>
      <c r="B68" s="16">
        <v>0.0612</v>
      </c>
      <c r="C68" s="16">
        <v>0.06059999999999999</v>
      </c>
      <c r="D68" s="16">
        <v>0.0638</v>
      </c>
      <c r="E68" s="16">
        <v>0.0694</v>
      </c>
      <c r="F68" s="16">
        <v>0.0723</v>
      </c>
      <c r="G68" s="16">
        <v>0.07519999999999999</v>
      </c>
      <c r="H68" s="16">
        <v>0.0775</v>
      </c>
      <c r="I68" s="17" t="str">
        <f>IFERROR(INDEX($B$1:$H$1,MATCH(MIN(B68:H68),B68:H68,0)),"")</f>
        <v>6 months</v>
      </c>
    </row>
    <row r="69" spans="1:9">
      <c r="A69" s="15">
        <v>40421</v>
      </c>
      <c r="B69" s="16">
        <v>0.0635</v>
      </c>
      <c r="C69" s="16">
        <v>0.0619</v>
      </c>
      <c r="D69" s="16">
        <v>0.0641</v>
      </c>
      <c r="E69" s="16">
        <v>0.0679</v>
      </c>
      <c r="F69" s="16">
        <v>0.07139999999999999</v>
      </c>
      <c r="G69" s="16">
        <v>0.07440000000000001</v>
      </c>
      <c r="H69" s="16">
        <v>0.07719999999999999</v>
      </c>
      <c r="I69" s="17" t="str">
        <f>IFERROR(INDEX($B$1:$H$1,MATCH(MIN(B69:H69),B69:H69,0)),"")</f>
        <v>6 months</v>
      </c>
    </row>
    <row r="70" spans="1:9">
      <c r="A70" s="15">
        <v>40451</v>
      </c>
      <c r="B70" s="16">
        <v>0.0634</v>
      </c>
      <c r="C70" s="16">
        <v>0.0624</v>
      </c>
      <c r="D70" s="16">
        <v>0.0641</v>
      </c>
      <c r="E70" s="16">
        <v>0.0673</v>
      </c>
      <c r="F70" s="16">
        <v>0.07099999999999999</v>
      </c>
      <c r="G70" s="16">
        <v>0.07440000000000001</v>
      </c>
      <c r="H70" s="16">
        <v>0.077</v>
      </c>
      <c r="I70" s="17" t="str">
        <f>IFERROR(INDEX($B$1:$H$1,MATCH(MIN(B70:H70),B70:H70,0)),"")</f>
        <v>6 months</v>
      </c>
    </row>
    <row r="71" spans="1:9">
      <c r="A71" s="15">
        <v>40482</v>
      </c>
      <c r="B71" s="16">
        <v>0.0634</v>
      </c>
      <c r="C71" s="16">
        <v>0.0624</v>
      </c>
      <c r="D71" s="16">
        <v>0.0641</v>
      </c>
      <c r="E71" s="16">
        <v>0.0673</v>
      </c>
      <c r="F71" s="16">
        <v>0.07099999999999999</v>
      </c>
      <c r="G71" s="16">
        <v>0.07440000000000001</v>
      </c>
      <c r="H71" s="16">
        <v>0.077</v>
      </c>
      <c r="I71" s="17" t="str">
        <f>IFERROR(INDEX($B$1:$H$1,MATCH(MIN(B71:H71),B71:H71,0)),"")</f>
        <v>6 months</v>
      </c>
    </row>
    <row r="72" spans="1:9">
      <c r="A72" s="15">
        <v>40512</v>
      </c>
      <c r="B72" s="16">
        <v>0.0634</v>
      </c>
      <c r="C72" s="16">
        <v>0.0624</v>
      </c>
      <c r="D72" s="16">
        <v>0.064</v>
      </c>
      <c r="E72" s="16">
        <v>0.0668</v>
      </c>
      <c r="F72" s="16">
        <v>0.07099999999999999</v>
      </c>
      <c r="G72" s="16">
        <v>0.07440000000000001</v>
      </c>
      <c r="H72" s="16">
        <v>0.077</v>
      </c>
      <c r="I72" s="17" t="str">
        <f>IFERROR(INDEX($B$1:$H$1,MATCH(MIN(B72:H72),B72:H72,0)),"")</f>
        <v>6 months</v>
      </c>
    </row>
    <row r="73" spans="1:9">
      <c r="A73" s="15">
        <v>40543</v>
      </c>
      <c r="B73" s="16">
        <v>0.0634</v>
      </c>
      <c r="C73" s="16">
        <v>0.0624</v>
      </c>
      <c r="D73" s="16">
        <v>0.064</v>
      </c>
      <c r="E73" s="16">
        <v>0.06660000000000001</v>
      </c>
      <c r="F73" s="16">
        <v>0.07099999999999999</v>
      </c>
      <c r="G73" s="16">
        <v>0.07440000000000001</v>
      </c>
      <c r="H73" s="16">
        <v>0.077</v>
      </c>
      <c r="I73" s="17" t="str">
        <f>IFERROR(INDEX($B$1:$H$1,MATCH(MIN(B73:H73),B73:H73,0)),"")</f>
        <v>6 months</v>
      </c>
    </row>
    <row r="74" spans="1:9">
      <c r="A74" s="15">
        <v>40574</v>
      </c>
      <c r="B74" s="16">
        <v>0.0634</v>
      </c>
      <c r="C74" s="16">
        <v>0.06269999999999999</v>
      </c>
      <c r="D74" s="16">
        <v>0.0643</v>
      </c>
      <c r="E74" s="16">
        <v>0.06660000000000001</v>
      </c>
      <c r="F74" s="16">
        <v>0.0709</v>
      </c>
      <c r="G74" s="16">
        <v>0.07440000000000001</v>
      </c>
      <c r="H74" s="16">
        <v>0.077</v>
      </c>
      <c r="I74" s="17" t="str">
        <f>IFERROR(INDEX($B$1:$H$1,MATCH(MIN(B74:H74),B74:H74,0)),"")</f>
        <v>6 months</v>
      </c>
    </row>
    <row r="75" spans="1:9">
      <c r="A75" s="15">
        <v>40602</v>
      </c>
      <c r="B75" s="16">
        <v>0.0634</v>
      </c>
      <c r="C75" s="16">
        <v>0.062</v>
      </c>
      <c r="D75" s="16">
        <v>0.06370000000000001</v>
      </c>
      <c r="E75" s="16">
        <v>0.0659</v>
      </c>
      <c r="F75" s="16">
        <v>0.0708</v>
      </c>
      <c r="G75" s="16">
        <v>0.07440000000000001</v>
      </c>
      <c r="H75" s="16">
        <v>0.077</v>
      </c>
      <c r="I75" s="17" t="str">
        <f>IFERROR(INDEX($B$1:$H$1,MATCH(MIN(B75:H75),B75:H75,0)),"")</f>
        <v>6 months</v>
      </c>
    </row>
    <row r="76" spans="1:9">
      <c r="A76" s="15">
        <v>40633</v>
      </c>
      <c r="B76" s="16">
        <v>0.0593</v>
      </c>
      <c r="C76" s="16">
        <v>0.05980000000000001</v>
      </c>
      <c r="D76" s="16">
        <v>0.05980000000000001</v>
      </c>
      <c r="E76" s="16">
        <v>0.0644</v>
      </c>
      <c r="F76" s="16">
        <v>0.0694</v>
      </c>
      <c r="G76" s="16">
        <v>0.0738</v>
      </c>
      <c r="H76" s="16">
        <v>0.0765</v>
      </c>
      <c r="I76" s="17" t="str">
        <f>IFERROR(INDEX($B$1:$H$1,MATCH(MIN(B76:H76),B76:H76,0)),"")</f>
        <v>Floating</v>
      </c>
    </row>
    <row r="77" spans="1:9">
      <c r="A77" s="15">
        <v>40663</v>
      </c>
      <c r="B77" s="16">
        <v>0.05889999999999999</v>
      </c>
      <c r="C77" s="16">
        <v>0.0583</v>
      </c>
      <c r="D77" s="16">
        <v>0.0594</v>
      </c>
      <c r="E77" s="16">
        <v>0.0644</v>
      </c>
      <c r="F77" s="16">
        <v>0.0694</v>
      </c>
      <c r="G77" s="16">
        <v>0.0738</v>
      </c>
      <c r="H77" s="16">
        <v>0.0765</v>
      </c>
      <c r="I77" s="17" t="str">
        <f>IFERROR(INDEX($B$1:$H$1,MATCH(MIN(B77:H77),B77:H77,0)),"")</f>
        <v>6 months</v>
      </c>
    </row>
    <row r="78" spans="1:9">
      <c r="A78" s="15">
        <v>40694</v>
      </c>
      <c r="B78" s="16">
        <v>0.0587</v>
      </c>
      <c r="C78" s="16">
        <v>0.0584</v>
      </c>
      <c r="D78" s="16">
        <v>0.0592</v>
      </c>
      <c r="E78" s="16">
        <v>0.06419999999999999</v>
      </c>
      <c r="F78" s="16">
        <v>0.0694</v>
      </c>
      <c r="G78" s="16">
        <v>0.0738</v>
      </c>
      <c r="H78" s="16">
        <v>0.0765</v>
      </c>
      <c r="I78" s="17" t="str">
        <f>IFERROR(INDEX($B$1:$H$1,MATCH(MIN(B78:H78),B78:H78,0)),"")</f>
        <v>6 months</v>
      </c>
    </row>
    <row r="79" spans="1:9">
      <c r="A79" s="15">
        <v>40724</v>
      </c>
      <c r="B79" s="16">
        <v>0.0587</v>
      </c>
      <c r="C79" s="16">
        <v>0.0584</v>
      </c>
      <c r="D79" s="16">
        <v>0.0594</v>
      </c>
      <c r="E79" s="16">
        <v>0.06419999999999999</v>
      </c>
      <c r="F79" s="16">
        <v>0.0694</v>
      </c>
      <c r="G79" s="16">
        <v>0.0738</v>
      </c>
      <c r="H79" s="16">
        <v>0.0765</v>
      </c>
      <c r="I79" s="17" t="str">
        <f>IFERROR(INDEX($B$1:$H$1,MATCH(MIN(B79:H79),B79:H79,0)),"")</f>
        <v>6 months</v>
      </c>
    </row>
    <row r="80" spans="1:9">
      <c r="A80" s="15">
        <v>40755</v>
      </c>
      <c r="B80" s="16">
        <v>0.0587</v>
      </c>
      <c r="C80" s="16">
        <v>0.0584</v>
      </c>
      <c r="D80" s="16">
        <v>0.0592</v>
      </c>
      <c r="E80" s="16">
        <v>0.0641</v>
      </c>
      <c r="F80" s="16">
        <v>0.0692</v>
      </c>
      <c r="G80" s="16">
        <v>0.07339999999999999</v>
      </c>
      <c r="H80" s="16">
        <v>0.07629999999999999</v>
      </c>
      <c r="I80" s="17" t="str">
        <f>IFERROR(INDEX($B$1:$H$1,MATCH(MIN(B80:H80),B80:H80,0)),"")</f>
        <v>6 months</v>
      </c>
    </row>
    <row r="81" spans="1:9">
      <c r="A81" s="15">
        <v>40786</v>
      </c>
      <c r="B81" s="16">
        <v>0.0587</v>
      </c>
      <c r="C81" s="16">
        <v>0.05860000000000001</v>
      </c>
      <c r="D81" s="16">
        <v>0.0594</v>
      </c>
      <c r="E81" s="16">
        <v>0.0641</v>
      </c>
      <c r="F81" s="16">
        <v>0.0692</v>
      </c>
      <c r="G81" s="16">
        <v>0.07339999999999999</v>
      </c>
      <c r="H81" s="16">
        <v>0.07629999999999999</v>
      </c>
      <c r="I81" s="17" t="str">
        <f>IFERROR(INDEX($B$1:$H$1,MATCH(MIN(B81:H81),B81:H81,0)),"")</f>
        <v>6 months</v>
      </c>
    </row>
    <row r="82" spans="1:9">
      <c r="A82" s="15">
        <v>40816</v>
      </c>
      <c r="B82" s="16">
        <v>0.0587</v>
      </c>
      <c r="C82" s="16">
        <v>0.0585</v>
      </c>
      <c r="D82" s="16">
        <v>0.0594</v>
      </c>
      <c r="E82" s="16">
        <v>0.0634</v>
      </c>
      <c r="F82" s="16">
        <v>0.0687</v>
      </c>
      <c r="G82" s="16">
        <v>0.07339999999999999</v>
      </c>
      <c r="H82" s="16">
        <v>0.07629999999999999</v>
      </c>
      <c r="I82" s="17" t="str">
        <f>IFERROR(INDEX($B$1:$H$1,MATCH(MIN(B82:H82),B82:H82,0)),"")</f>
        <v>6 months</v>
      </c>
    </row>
    <row r="83" spans="1:9">
      <c r="A83" s="15">
        <v>40847</v>
      </c>
      <c r="B83" s="16">
        <v>0.0585</v>
      </c>
      <c r="C83" s="16">
        <v>0.0581</v>
      </c>
      <c r="D83" s="16">
        <v>0.0587</v>
      </c>
      <c r="E83" s="16">
        <v>0.0621</v>
      </c>
      <c r="F83" s="16">
        <v>0.06709999999999999</v>
      </c>
      <c r="G83" s="16">
        <v>0.07200000000000001</v>
      </c>
      <c r="H83" s="16">
        <v>0.0756</v>
      </c>
      <c r="I83" s="17" t="str">
        <f>IFERROR(INDEX($B$1:$H$1,MATCH(MIN(B83:H83),B83:H83,0)),"")</f>
        <v>6 months</v>
      </c>
    </row>
    <row r="84" spans="1:9">
      <c r="A84" s="15">
        <v>40877</v>
      </c>
      <c r="B84" s="16">
        <v>0.0583</v>
      </c>
      <c r="C84" s="16">
        <v>0.0567</v>
      </c>
      <c r="D84" s="16">
        <v>0.0578</v>
      </c>
      <c r="E84" s="16">
        <v>0.0596</v>
      </c>
      <c r="F84" s="16">
        <v>0.0641</v>
      </c>
      <c r="G84" s="16">
        <v>0.068</v>
      </c>
      <c r="H84" s="16">
        <v>0.0722</v>
      </c>
      <c r="I84" s="17" t="str">
        <f>IFERROR(INDEX($B$1:$H$1,MATCH(MIN(B84:H84),B84:H84,0)),"")</f>
        <v>6 months</v>
      </c>
    </row>
    <row r="85" spans="1:9">
      <c r="A85" s="15">
        <v>40908</v>
      </c>
      <c r="B85" s="16">
        <v>0.05860000000000001</v>
      </c>
      <c r="C85" s="16">
        <v>0.0572</v>
      </c>
      <c r="D85" s="16">
        <v>0.0574</v>
      </c>
      <c r="E85" s="16">
        <v>0.0594</v>
      </c>
      <c r="F85" s="16">
        <v>0.0641</v>
      </c>
      <c r="G85" s="16">
        <v>0.06809999999999999</v>
      </c>
      <c r="H85" s="16">
        <v>0.0722</v>
      </c>
      <c r="I85" s="17" t="str">
        <f>IFERROR(INDEX($B$1:$H$1,MATCH(MIN(B85:H85),B85:H85,0)),"")</f>
        <v>6 months</v>
      </c>
    </row>
    <row r="86" spans="1:9">
      <c r="A86" s="15">
        <v>40939</v>
      </c>
      <c r="B86" s="16">
        <v>0.05860000000000001</v>
      </c>
      <c r="C86" s="16">
        <v>0.0566</v>
      </c>
      <c r="D86" s="16">
        <v>0.05690000000000001</v>
      </c>
      <c r="E86" s="16">
        <v>0.05860000000000001</v>
      </c>
      <c r="F86" s="16">
        <v>0.0638</v>
      </c>
      <c r="G86" s="16">
        <v>0.0668</v>
      </c>
      <c r="H86" s="16">
        <v>0.07200000000000001</v>
      </c>
      <c r="I86" s="17" t="str">
        <f>IFERROR(INDEX($B$1:$H$1,MATCH(MIN(B86:H86),B86:H86,0)),"")</f>
        <v>6 months</v>
      </c>
    </row>
    <row r="87" spans="1:9">
      <c r="A87" s="15">
        <v>40968</v>
      </c>
      <c r="B87" s="16">
        <v>0.05860000000000001</v>
      </c>
      <c r="C87" s="16">
        <v>0.0564</v>
      </c>
      <c r="D87" s="16">
        <v>0.0567</v>
      </c>
      <c r="E87" s="16">
        <v>0.0582</v>
      </c>
      <c r="F87" s="16">
        <v>0.0613</v>
      </c>
      <c r="G87" s="16">
        <v>0.0653</v>
      </c>
      <c r="H87" s="16">
        <v>0.0693</v>
      </c>
      <c r="I87" s="17" t="str">
        <f>IFERROR(INDEX($B$1:$H$1,MATCH(MIN(B87:H87),B87:H87,0)),"")</f>
        <v>6 months</v>
      </c>
    </row>
    <row r="88" spans="1:9">
      <c r="A88" s="15">
        <v>40999</v>
      </c>
      <c r="B88" s="16">
        <v>0.05860000000000001</v>
      </c>
      <c r="C88" s="16">
        <v>0.0564</v>
      </c>
      <c r="D88" s="16">
        <v>0.0564</v>
      </c>
      <c r="E88" s="16">
        <v>0.0581</v>
      </c>
      <c r="F88" s="16">
        <v>0.061</v>
      </c>
      <c r="G88" s="16">
        <v>0.065</v>
      </c>
      <c r="H88" s="16">
        <v>0.06900000000000001</v>
      </c>
      <c r="I88" s="17" t="str">
        <f>IFERROR(INDEX($B$1:$H$1,MATCH(MIN(B88:H88),B88:H88,0)),"")</f>
        <v>6 months</v>
      </c>
    </row>
    <row r="89" spans="1:9">
      <c r="A89" s="15">
        <v>41029</v>
      </c>
      <c r="B89" s="16">
        <v>0.0581</v>
      </c>
      <c r="C89" s="16">
        <v>0.0567</v>
      </c>
      <c r="D89" s="16">
        <v>0.0564</v>
      </c>
      <c r="E89" s="16">
        <v>0.0581</v>
      </c>
      <c r="F89" s="16">
        <v>0.061</v>
      </c>
      <c r="G89" s="16">
        <v>0.0649</v>
      </c>
      <c r="H89" s="16">
        <v>0.06900000000000001</v>
      </c>
      <c r="I89" s="17" t="str">
        <f>IFERROR(INDEX($B$1:$H$1,MATCH(MIN(B89:H89),B89:H89,0)),"")</f>
        <v>1 year</v>
      </c>
    </row>
    <row r="90" spans="1:9">
      <c r="A90" s="15">
        <v>41060</v>
      </c>
      <c r="B90" s="16">
        <v>0.0581</v>
      </c>
      <c r="C90" s="16">
        <v>0.05599999999999999</v>
      </c>
      <c r="D90" s="16">
        <v>0.0529</v>
      </c>
      <c r="E90" s="16">
        <v>0.0556</v>
      </c>
      <c r="F90" s="16">
        <v>0.05769999999999999</v>
      </c>
      <c r="G90" s="16">
        <v>0.06179999999999999</v>
      </c>
      <c r="H90" s="16">
        <v>0.06570000000000001</v>
      </c>
      <c r="I90" s="17" t="str">
        <f>IFERROR(INDEX($B$1:$H$1,MATCH(MIN(B90:H90),B90:H90,0)),"")</f>
        <v>1 year</v>
      </c>
    </row>
    <row r="91" spans="1:9">
      <c r="A91" s="15">
        <v>41090</v>
      </c>
      <c r="B91" s="16">
        <v>0.0581</v>
      </c>
      <c r="C91" s="16">
        <v>0.0556</v>
      </c>
      <c r="D91" s="16">
        <v>0.0529</v>
      </c>
      <c r="E91" s="16">
        <v>0.0555</v>
      </c>
      <c r="F91" s="16">
        <v>0.05769999999999999</v>
      </c>
      <c r="G91" s="16">
        <v>0.0619</v>
      </c>
      <c r="H91" s="16">
        <v>0.06570000000000001</v>
      </c>
      <c r="I91" s="17" t="str">
        <f>IFERROR(INDEX($B$1:$H$1,MATCH(MIN(B91:H91),B91:H91,0)),"")</f>
        <v>1 year</v>
      </c>
    </row>
    <row r="92" spans="1:9">
      <c r="A92" s="15">
        <v>41121</v>
      </c>
      <c r="B92" s="16">
        <v>0.0579</v>
      </c>
      <c r="C92" s="16">
        <v>0.0558</v>
      </c>
      <c r="D92" s="16">
        <v>0.0537</v>
      </c>
      <c r="E92" s="16">
        <v>0.0556</v>
      </c>
      <c r="F92" s="16">
        <v>0.058</v>
      </c>
      <c r="G92" s="16">
        <v>0.0619</v>
      </c>
      <c r="H92" s="16">
        <v>0.06570000000000001</v>
      </c>
      <c r="I92" s="17" t="str">
        <f>IFERROR(INDEX($B$1:$H$1,MATCH(MIN(B92:H92),B92:H92,0)),"")</f>
        <v>1 year</v>
      </c>
    </row>
    <row r="93" spans="1:9">
      <c r="A93" s="15">
        <v>41152</v>
      </c>
      <c r="B93" s="16">
        <v>0.0579</v>
      </c>
      <c r="C93" s="16">
        <v>0.0558</v>
      </c>
      <c r="D93" s="16">
        <v>0.0539</v>
      </c>
      <c r="E93" s="16">
        <v>0.0554</v>
      </c>
      <c r="F93" s="16">
        <v>0.0581</v>
      </c>
      <c r="G93" s="16">
        <v>0.062</v>
      </c>
      <c r="H93" s="16">
        <v>0.0654</v>
      </c>
      <c r="I93" s="17" t="str">
        <f>IFERROR(INDEX($B$1:$H$1,MATCH(MIN(B93:H93),B93:H93,0)),"")</f>
        <v>1 year</v>
      </c>
    </row>
    <row r="94" spans="1:9">
      <c r="A94" s="15">
        <v>41182</v>
      </c>
      <c r="B94" s="16">
        <v>0.0579</v>
      </c>
      <c r="C94" s="16">
        <v>0.0544</v>
      </c>
      <c r="D94" s="16">
        <v>0.0537</v>
      </c>
      <c r="E94" s="16">
        <v>0.0547</v>
      </c>
      <c r="F94" s="16">
        <v>0.0581</v>
      </c>
      <c r="G94" s="16">
        <v>0.0617</v>
      </c>
      <c r="H94" s="16">
        <v>0.0646</v>
      </c>
      <c r="I94" s="17" t="str">
        <f>IFERROR(INDEX($B$1:$H$1,MATCH(MIN(B94:H94),B94:H94,0)),"")</f>
        <v>1 year</v>
      </c>
    </row>
    <row r="95" spans="1:9">
      <c r="A95" s="15">
        <v>41213</v>
      </c>
      <c r="B95" s="16">
        <v>0.0579</v>
      </c>
      <c r="C95" s="16">
        <v>0.0536</v>
      </c>
      <c r="D95" s="16">
        <v>0.0528</v>
      </c>
      <c r="E95" s="16">
        <v>0.05400000000000001</v>
      </c>
      <c r="F95" s="16">
        <v>0.0581</v>
      </c>
      <c r="G95" s="16">
        <v>0.0616</v>
      </c>
      <c r="H95" s="16">
        <v>0.0646</v>
      </c>
      <c r="I95" s="17" t="str">
        <f>IFERROR(INDEX($B$1:$H$1,MATCH(MIN(B95:H95),B95:H95,0)),"")</f>
        <v>1 year</v>
      </c>
    </row>
    <row r="96" spans="1:9">
      <c r="A96" s="15">
        <v>41243</v>
      </c>
      <c r="B96" s="16">
        <v>0.0579</v>
      </c>
      <c r="C96" s="16">
        <v>0.0529</v>
      </c>
      <c r="D96" s="16">
        <v>0.0529</v>
      </c>
      <c r="E96" s="16">
        <v>0.0542</v>
      </c>
      <c r="F96" s="16">
        <v>0.0581</v>
      </c>
      <c r="G96" s="16">
        <v>0.0616</v>
      </c>
      <c r="H96" s="16">
        <v>0.0646</v>
      </c>
      <c r="I96" s="17" t="str">
        <f>IFERROR(INDEX($B$1:$H$1,MATCH(MIN(B96:H96),B96:H96,0)),"")</f>
        <v>6 months</v>
      </c>
    </row>
    <row r="97" spans="1:9">
      <c r="A97" s="15">
        <v>41274</v>
      </c>
      <c r="B97" s="16">
        <v>0.058</v>
      </c>
      <c r="C97" s="16">
        <v>0.0538</v>
      </c>
      <c r="D97" s="16">
        <v>0.05400000000000001</v>
      </c>
      <c r="E97" s="16">
        <v>0.0551</v>
      </c>
      <c r="F97" s="16">
        <v>0.0592</v>
      </c>
      <c r="G97" s="16">
        <v>0.0614</v>
      </c>
      <c r="H97" s="16">
        <v>0.0654</v>
      </c>
      <c r="I97" s="17" t="str">
        <f>IFERROR(INDEX($B$1:$H$1,MATCH(MIN(B97:H97),B97:H97,0)),"")</f>
        <v>6 months</v>
      </c>
    </row>
    <row r="98" spans="1:9">
      <c r="A98" s="15">
        <v>41305</v>
      </c>
      <c r="B98" s="16">
        <v>0.058</v>
      </c>
      <c r="C98" s="16">
        <v>0.0546</v>
      </c>
      <c r="D98" s="16">
        <v>0.0539</v>
      </c>
      <c r="E98" s="16">
        <v>0.0553</v>
      </c>
      <c r="F98" s="16">
        <v>0.0591</v>
      </c>
      <c r="G98" s="16">
        <v>0.0612</v>
      </c>
      <c r="H98" s="16">
        <v>0.06519999999999999</v>
      </c>
      <c r="I98" s="17" t="str">
        <f>IFERROR(INDEX($B$1:$H$1,MATCH(MIN(B98:H98),B98:H98,0)),"")</f>
        <v>1 year</v>
      </c>
    </row>
    <row r="99" spans="1:9">
      <c r="A99" s="15">
        <v>41333</v>
      </c>
      <c r="B99" s="16">
        <v>0.058</v>
      </c>
      <c r="C99" s="16">
        <v>0.0542</v>
      </c>
      <c r="D99" s="16">
        <v>0.0538</v>
      </c>
      <c r="E99" s="16">
        <v>0.0552</v>
      </c>
      <c r="F99" s="16">
        <v>0.05889999999999999</v>
      </c>
      <c r="G99" s="16">
        <v>0.0607</v>
      </c>
      <c r="H99" s="16">
        <v>0.0645</v>
      </c>
      <c r="I99" s="17" t="str">
        <f>IFERROR(INDEX($B$1:$H$1,MATCH(MIN(B99:H99),B99:H99,0)),"")</f>
        <v>1 year</v>
      </c>
    </row>
    <row r="100" spans="1:9">
      <c r="A100" s="15">
        <v>41364</v>
      </c>
      <c r="B100" s="16">
        <v>0.058</v>
      </c>
      <c r="C100" s="16">
        <v>0.0544</v>
      </c>
      <c r="D100" s="16">
        <v>0.0537</v>
      </c>
      <c r="E100" s="16">
        <v>0.0552</v>
      </c>
      <c r="F100" s="16">
        <v>0.0585</v>
      </c>
      <c r="G100" s="16">
        <v>0.0603</v>
      </c>
      <c r="H100" s="16">
        <v>0.06370000000000001</v>
      </c>
      <c r="I100" s="17" t="str">
        <f>IFERROR(INDEX($B$1:$H$1,MATCH(MIN(B100:H100),B100:H100,0)),"")</f>
        <v>1 year</v>
      </c>
    </row>
    <row r="101" spans="1:9">
      <c r="A101" s="15">
        <v>41394</v>
      </c>
      <c r="B101" s="16">
        <v>0.058</v>
      </c>
      <c r="C101" s="16">
        <v>0.0541</v>
      </c>
      <c r="D101" s="16">
        <v>0.0528</v>
      </c>
      <c r="E101" s="16">
        <v>0.0549</v>
      </c>
      <c r="F101" s="16">
        <v>0.0587</v>
      </c>
      <c r="G101" s="16">
        <v>0.0603</v>
      </c>
      <c r="H101" s="16">
        <v>0.0635</v>
      </c>
      <c r="I101" s="17" t="str">
        <f>IFERROR(INDEX($B$1:$H$1,MATCH(MIN(B101:H101),B101:H101,0)),"")</f>
        <v>1 year</v>
      </c>
    </row>
    <row r="102" spans="1:9">
      <c r="A102" s="15">
        <v>41425</v>
      </c>
      <c r="B102" s="16">
        <v>0.058</v>
      </c>
      <c r="C102" s="16">
        <v>0.0541</v>
      </c>
      <c r="D102" s="16">
        <v>0.05309999999999999</v>
      </c>
      <c r="E102" s="16">
        <v>0.0547</v>
      </c>
      <c r="F102" s="16">
        <v>0.0587</v>
      </c>
      <c r="G102" s="16">
        <v>0.0603</v>
      </c>
      <c r="H102" s="16">
        <v>0.0635</v>
      </c>
      <c r="I102" s="17" t="str">
        <f>IFERROR(INDEX($B$1:$H$1,MATCH(MIN(B102:H102),B102:H102,0)),"")</f>
        <v>1 year</v>
      </c>
    </row>
    <row r="103" spans="1:9">
      <c r="A103" s="15">
        <v>41455</v>
      </c>
      <c r="B103" s="16">
        <v>0.058</v>
      </c>
      <c r="C103" s="16">
        <v>0.0539</v>
      </c>
      <c r="D103" s="16">
        <v>0.0526</v>
      </c>
      <c r="E103" s="16">
        <v>0.0554</v>
      </c>
      <c r="F103" s="16">
        <v>0.0594</v>
      </c>
      <c r="G103" s="16">
        <v>0.061</v>
      </c>
      <c r="H103" s="16">
        <v>0.0639</v>
      </c>
      <c r="I103" s="17" t="str">
        <f>IFERROR(INDEX($B$1:$H$1,MATCH(MIN(B103:H103),B103:H103,0)),"")</f>
        <v>1 year</v>
      </c>
    </row>
    <row r="104" spans="1:9">
      <c r="A104" s="15">
        <v>41486</v>
      </c>
      <c r="B104" s="16">
        <v>0.058</v>
      </c>
      <c r="C104" s="16">
        <v>0.0538</v>
      </c>
      <c r="D104" s="16">
        <v>0.0527</v>
      </c>
      <c r="E104" s="16">
        <v>0.0565</v>
      </c>
      <c r="F104" s="16">
        <v>0.0609</v>
      </c>
      <c r="G104" s="16">
        <v>0.06269999999999999</v>
      </c>
      <c r="H104" s="16">
        <v>0.0663</v>
      </c>
      <c r="I104" s="17" t="str">
        <f>IFERROR(INDEX($B$1:$H$1,MATCH(MIN(B104:H104),B104:H104,0)),"")</f>
        <v>1 year</v>
      </c>
    </row>
    <row r="105" spans="1:9">
      <c r="A105" s="15">
        <v>41517</v>
      </c>
      <c r="B105" s="16">
        <v>0.058</v>
      </c>
      <c r="C105" s="16">
        <v>0.05400000000000001</v>
      </c>
      <c r="D105" s="16">
        <v>0.05309999999999999</v>
      </c>
      <c r="E105" s="16">
        <v>0.0576</v>
      </c>
      <c r="F105" s="16">
        <v>0.0623</v>
      </c>
      <c r="G105" s="16">
        <v>0.0643</v>
      </c>
      <c r="H105" s="16">
        <v>0.0678</v>
      </c>
      <c r="I105" s="17" t="str">
        <f>IFERROR(INDEX($B$1:$H$1,MATCH(MIN(B105:H105),B105:H105,0)),"")</f>
        <v>1 year</v>
      </c>
    </row>
    <row r="106" spans="1:9">
      <c r="A106" s="15">
        <v>41547</v>
      </c>
      <c r="B106" s="16">
        <v>0.0583</v>
      </c>
      <c r="C106" s="16">
        <v>0.0542</v>
      </c>
      <c r="D106" s="16">
        <v>0.0537</v>
      </c>
      <c r="E106" s="16">
        <v>0.0582</v>
      </c>
      <c r="F106" s="16">
        <v>0.0639</v>
      </c>
      <c r="G106" s="16">
        <v>0.067</v>
      </c>
      <c r="H106" s="16">
        <v>0.0698</v>
      </c>
      <c r="I106" s="17" t="str">
        <f>IFERROR(INDEX($B$1:$H$1,MATCH(MIN(B106:H106),B106:H106,0)),"")</f>
        <v>1 year</v>
      </c>
    </row>
    <row r="107" spans="1:9">
      <c r="A107" s="15">
        <v>41578</v>
      </c>
      <c r="B107" s="16">
        <v>0.0583</v>
      </c>
      <c r="C107" s="16">
        <v>0.0537</v>
      </c>
      <c r="D107" s="16">
        <v>0.0532</v>
      </c>
      <c r="E107" s="16">
        <v>0.0583</v>
      </c>
      <c r="F107" s="16">
        <v>0.0639</v>
      </c>
      <c r="G107" s="16">
        <v>0.06709999999999999</v>
      </c>
      <c r="H107" s="16">
        <v>0.0698</v>
      </c>
      <c r="I107" s="17" t="str">
        <f>IFERROR(INDEX($B$1:$H$1,MATCH(MIN(B107:H107),B107:H107,0)),"")</f>
        <v>1 year</v>
      </c>
    </row>
    <row r="108" spans="1:9">
      <c r="A108" s="15">
        <v>41608</v>
      </c>
      <c r="B108" s="16">
        <v>0.0583</v>
      </c>
      <c r="C108" s="16">
        <v>0.0539</v>
      </c>
      <c r="D108" s="16">
        <v>0.0534</v>
      </c>
      <c r="E108" s="16">
        <v>0.0585</v>
      </c>
      <c r="F108" s="16">
        <v>0.0634</v>
      </c>
      <c r="G108" s="16">
        <v>0.06709999999999999</v>
      </c>
      <c r="H108" s="16">
        <v>0.0697</v>
      </c>
      <c r="I108" s="17" t="str">
        <f>IFERROR(INDEX($B$1:$H$1,MATCH(MIN(B108:H108),B108:H108,0)),"")</f>
        <v>1 year</v>
      </c>
    </row>
    <row r="109" spans="1:9">
      <c r="A109" s="15">
        <v>41639</v>
      </c>
      <c r="B109" s="16">
        <v>0.0583</v>
      </c>
      <c r="C109" s="16">
        <v>0.0542</v>
      </c>
      <c r="D109" s="16">
        <v>0.0545</v>
      </c>
      <c r="E109" s="16">
        <v>0.0602</v>
      </c>
      <c r="F109" s="16">
        <v>0.0645</v>
      </c>
      <c r="G109" s="16">
        <v>0.0683</v>
      </c>
      <c r="H109" s="16">
        <v>0.0707</v>
      </c>
      <c r="I109" s="17" t="str">
        <f>IFERROR(INDEX($B$1:$H$1,MATCH(MIN(B109:H109),B109:H109,0)),"")</f>
        <v>6 months</v>
      </c>
    </row>
    <row r="110" spans="1:9">
      <c r="A110" s="15">
        <v>41670</v>
      </c>
      <c r="B110" s="16">
        <v>0.0583</v>
      </c>
      <c r="C110" s="16">
        <v>0.0542</v>
      </c>
      <c r="D110" s="16">
        <v>0.0547</v>
      </c>
      <c r="E110" s="16">
        <v>0.0608</v>
      </c>
      <c r="F110" s="16">
        <v>0.0645</v>
      </c>
      <c r="G110" s="16">
        <v>0.06849999999999999</v>
      </c>
      <c r="H110" s="16">
        <v>0.0709</v>
      </c>
      <c r="I110" s="17" t="str">
        <f>IFERROR(INDEX($B$1:$H$1,MATCH(MIN(B110:H110),B110:H110,0)),"")</f>
        <v>6 months</v>
      </c>
    </row>
    <row r="111" spans="1:9">
      <c r="A111" s="15">
        <v>41698</v>
      </c>
      <c r="B111" s="16">
        <v>0.0583</v>
      </c>
      <c r="C111" s="16">
        <v>0.05429999999999999</v>
      </c>
      <c r="D111" s="16">
        <v>0.0551</v>
      </c>
      <c r="E111" s="16">
        <v>0.0602</v>
      </c>
      <c r="F111" s="16">
        <v>0.06419999999999999</v>
      </c>
      <c r="G111" s="16">
        <v>0.06849999999999999</v>
      </c>
      <c r="H111" s="16">
        <v>0.0709</v>
      </c>
      <c r="I111" s="17" t="str">
        <f>IFERROR(INDEX($B$1:$H$1,MATCH(MIN(B111:H111),B111:H111,0)),"")</f>
        <v>6 months</v>
      </c>
    </row>
    <row r="112" spans="1:9">
      <c r="A112" s="15">
        <v>41729</v>
      </c>
      <c r="B112" s="16">
        <v>0.0601</v>
      </c>
      <c r="C112" s="16">
        <v>0.0554</v>
      </c>
      <c r="D112" s="16">
        <v>0.057</v>
      </c>
      <c r="E112" s="16">
        <v>0.0623</v>
      </c>
      <c r="F112" s="16">
        <v>0.0659</v>
      </c>
      <c r="G112" s="16">
        <v>0.0704</v>
      </c>
      <c r="H112" s="16">
        <v>0.07290000000000001</v>
      </c>
      <c r="I112" s="17" t="str">
        <f>IFERROR(INDEX($B$1:$H$1,MATCH(MIN(B112:H112),B112:H112,0)),"")</f>
        <v>6 months</v>
      </c>
    </row>
    <row r="113" spans="1:9">
      <c r="A113" s="15">
        <v>41759</v>
      </c>
      <c r="B113" s="16">
        <v>0.0605</v>
      </c>
      <c r="C113" s="16">
        <v>0.0559</v>
      </c>
      <c r="D113" s="16">
        <v>0.0576</v>
      </c>
      <c r="E113" s="16">
        <v>0.0625</v>
      </c>
      <c r="F113" s="16">
        <v>0.06610000000000001</v>
      </c>
      <c r="G113" s="16">
        <v>0.0709</v>
      </c>
      <c r="H113" s="16">
        <v>0.07339999999999999</v>
      </c>
      <c r="I113" s="17" t="str">
        <f>IFERROR(INDEX($B$1:$H$1,MATCH(MIN(B113:H113),B113:H113,0)),"")</f>
        <v>6 months</v>
      </c>
    </row>
    <row r="114" spans="1:9">
      <c r="A114" s="15">
        <v>41790</v>
      </c>
      <c r="B114" s="16">
        <v>0.06179999999999999</v>
      </c>
      <c r="C114" s="16">
        <v>0.0572</v>
      </c>
      <c r="D114" s="16">
        <v>0.0582</v>
      </c>
      <c r="E114" s="16">
        <v>0.0621</v>
      </c>
      <c r="F114" s="16">
        <v>0.06559999999999999</v>
      </c>
      <c r="G114" s="16">
        <v>0.0694</v>
      </c>
      <c r="H114" s="16">
        <v>0.0726</v>
      </c>
      <c r="I114" s="17" t="str">
        <f>IFERROR(INDEX($B$1:$H$1,MATCH(MIN(B114:H114),B114:H114,0)),"")</f>
        <v>6 months</v>
      </c>
    </row>
    <row r="115" spans="1:9">
      <c r="A115" s="15">
        <v>41820</v>
      </c>
      <c r="B115" s="16">
        <v>0.0633</v>
      </c>
      <c r="C115" s="16">
        <v>0.0582</v>
      </c>
      <c r="D115" s="16">
        <v>0.0592</v>
      </c>
      <c r="E115" s="16">
        <v>0.0623</v>
      </c>
      <c r="F115" s="16">
        <v>0.0654</v>
      </c>
      <c r="G115" s="16">
        <v>0.06909999999999999</v>
      </c>
      <c r="H115" s="16">
        <v>0.0718</v>
      </c>
      <c r="I115" s="17" t="str">
        <f>IFERROR(INDEX($B$1:$H$1,MATCH(MIN(B115:H115),B115:H115,0)),"")</f>
        <v>6 months</v>
      </c>
    </row>
    <row r="116" spans="1:9">
      <c r="A116" s="15">
        <v>41851</v>
      </c>
      <c r="B116" s="16">
        <v>0.06509999999999999</v>
      </c>
      <c r="C116" s="16">
        <v>0.0591</v>
      </c>
      <c r="D116" s="16">
        <v>0.05980000000000001</v>
      </c>
      <c r="E116" s="16">
        <v>0.063</v>
      </c>
      <c r="F116" s="16">
        <v>0.06559999999999999</v>
      </c>
      <c r="G116" s="16">
        <v>0.0684</v>
      </c>
      <c r="H116" s="16">
        <v>0.0711</v>
      </c>
      <c r="I116" s="17" t="str">
        <f>IFERROR(INDEX($B$1:$H$1,MATCH(MIN(B116:H116),B116:H116,0)),"")</f>
        <v>6 months</v>
      </c>
    </row>
    <row r="117" spans="1:9">
      <c r="A117" s="15">
        <v>41882</v>
      </c>
      <c r="B117" s="16">
        <v>0.06570000000000001</v>
      </c>
      <c r="C117" s="16">
        <v>0.059</v>
      </c>
      <c r="D117" s="16">
        <v>0.0597</v>
      </c>
      <c r="E117" s="16">
        <v>0.0625</v>
      </c>
      <c r="F117" s="16">
        <v>0.06619999999999999</v>
      </c>
      <c r="G117" s="16">
        <v>0.0683</v>
      </c>
      <c r="H117" s="16">
        <v>0.0711</v>
      </c>
      <c r="I117" s="17" t="str">
        <f>IFERROR(INDEX($B$1:$H$1,MATCH(MIN(B117:H117),B117:H117,0)),"")</f>
        <v>6 months</v>
      </c>
    </row>
    <row r="118" spans="1:9">
      <c r="A118" s="15">
        <v>41912</v>
      </c>
      <c r="B118" s="16">
        <v>0.0659</v>
      </c>
      <c r="C118" s="16">
        <v>0.0592</v>
      </c>
      <c r="D118" s="16">
        <v>0.05980000000000001</v>
      </c>
      <c r="E118" s="16">
        <v>0.06309999999999999</v>
      </c>
      <c r="F118" s="16">
        <v>0.0654</v>
      </c>
      <c r="G118" s="16">
        <v>0.0682</v>
      </c>
      <c r="H118" s="16">
        <v>0.0712</v>
      </c>
      <c r="I118" s="17" t="str">
        <f>IFERROR(INDEX($B$1:$H$1,MATCH(MIN(B118:H118),B118:H118,0)),"")</f>
        <v>6 months</v>
      </c>
    </row>
    <row r="119" spans="1:9">
      <c r="A119" s="15">
        <v>41943</v>
      </c>
      <c r="B119" s="16">
        <v>0.0659</v>
      </c>
      <c r="C119" s="16">
        <v>0.0592</v>
      </c>
      <c r="D119" s="16">
        <v>0.0593</v>
      </c>
      <c r="E119" s="16">
        <v>0.06269999999999999</v>
      </c>
      <c r="F119" s="16">
        <v>0.0653</v>
      </c>
      <c r="G119" s="16">
        <v>0.0677</v>
      </c>
      <c r="H119" s="16">
        <v>0.0709</v>
      </c>
      <c r="I119" s="17" t="str">
        <f>IFERROR(INDEX($B$1:$H$1,MATCH(MIN(B119:H119),B119:H119,0)),"")</f>
        <v>6 months</v>
      </c>
    </row>
    <row r="120" spans="1:9">
      <c r="A120" s="15">
        <v>41973</v>
      </c>
      <c r="B120" s="16">
        <v>0.0659</v>
      </c>
      <c r="C120" s="16">
        <v>0.0591</v>
      </c>
      <c r="D120" s="16">
        <v>0.05889999999999999</v>
      </c>
      <c r="E120" s="16">
        <v>0.06179999999999999</v>
      </c>
      <c r="F120" s="16">
        <v>0.0643</v>
      </c>
      <c r="G120" s="16">
        <v>0.06559999999999999</v>
      </c>
      <c r="H120" s="16">
        <v>0.06849999999999999</v>
      </c>
      <c r="I120" s="17" t="str">
        <f>IFERROR(INDEX($B$1:$H$1,MATCH(MIN(B120:H120),B120:H120,0)),"")</f>
        <v>1 year</v>
      </c>
    </row>
    <row r="121" spans="1:9">
      <c r="A121" s="15">
        <v>42004</v>
      </c>
      <c r="B121" s="16">
        <v>0.0659</v>
      </c>
      <c r="C121" s="16">
        <v>0.0591</v>
      </c>
      <c r="D121" s="16">
        <v>0.0587</v>
      </c>
      <c r="E121" s="16">
        <v>0.0616</v>
      </c>
      <c r="F121" s="16">
        <v>0.064</v>
      </c>
      <c r="G121" s="16">
        <v>0.0654</v>
      </c>
      <c r="H121" s="16">
        <v>0.0683</v>
      </c>
      <c r="I121" s="17" t="str">
        <f>IFERROR(INDEX($B$1:$H$1,MATCH(MIN(B121:H121),B121:H121,0)),"")</f>
        <v>1 year</v>
      </c>
    </row>
    <row r="122" spans="1:9">
      <c r="A122" s="15">
        <v>42035</v>
      </c>
      <c r="B122" s="16">
        <v>0.0659</v>
      </c>
      <c r="C122" s="16">
        <v>0.0591</v>
      </c>
      <c r="D122" s="16">
        <v>0.0585</v>
      </c>
      <c r="E122" s="16">
        <v>0.0614</v>
      </c>
      <c r="F122" s="16">
        <v>0.0634</v>
      </c>
      <c r="G122" s="16">
        <v>0.0649</v>
      </c>
      <c r="H122" s="16">
        <v>0.0674</v>
      </c>
      <c r="I122" s="17" t="str">
        <f>IFERROR(INDEX($B$1:$H$1,MATCH(MIN(B122:H122),B122:H122,0)),"")</f>
        <v>1 year</v>
      </c>
    </row>
    <row r="123" spans="1:9">
      <c r="A123" s="15">
        <v>42063</v>
      </c>
      <c r="B123" s="16">
        <v>0.06559999999999999</v>
      </c>
      <c r="C123" s="16">
        <v>0.0588</v>
      </c>
      <c r="D123" s="16">
        <v>0.0582</v>
      </c>
      <c r="E123" s="16">
        <v>0.0599</v>
      </c>
      <c r="F123" s="16">
        <v>0.0621</v>
      </c>
      <c r="G123" s="16">
        <v>0.06309999999999999</v>
      </c>
      <c r="H123" s="16">
        <v>0.06519999999999999</v>
      </c>
      <c r="I123" s="17" t="str">
        <f>IFERROR(INDEX($B$1:$H$1,MATCH(MIN(B123:H123),B123:H123,0)),"")</f>
        <v>1 year</v>
      </c>
    </row>
    <row r="124" spans="1:9">
      <c r="A124" s="15">
        <v>42094</v>
      </c>
      <c r="B124" s="16">
        <v>0.06559999999999999</v>
      </c>
      <c r="C124" s="16">
        <v>0.0588</v>
      </c>
      <c r="D124" s="16">
        <v>0.0582</v>
      </c>
      <c r="E124" s="16">
        <v>0.05980000000000001</v>
      </c>
      <c r="F124" s="16">
        <v>0.06179999999999999</v>
      </c>
      <c r="G124" s="16">
        <v>0.0629</v>
      </c>
      <c r="H124" s="16">
        <v>0.06509999999999999</v>
      </c>
      <c r="I124" s="17" t="str">
        <f>IFERROR(INDEX($B$1:$H$1,MATCH(MIN(B124:H124),B124:H124,0)),"")</f>
        <v>1 year</v>
      </c>
    </row>
    <row r="125" spans="1:9">
      <c r="A125" s="15">
        <v>42124</v>
      </c>
      <c r="B125" s="16">
        <v>0.06559999999999999</v>
      </c>
      <c r="C125" s="16">
        <v>0.0584</v>
      </c>
      <c r="D125" s="16">
        <v>0.0579</v>
      </c>
      <c r="E125" s="16">
        <v>0.0592</v>
      </c>
      <c r="F125" s="16">
        <v>0.061</v>
      </c>
      <c r="G125" s="16">
        <v>0.0619</v>
      </c>
      <c r="H125" s="16">
        <v>0.0643</v>
      </c>
      <c r="I125" s="17" t="str">
        <f>IFERROR(INDEX($B$1:$H$1,MATCH(MIN(B125:H125),B125:H125,0)),"")</f>
        <v>1 year</v>
      </c>
    </row>
    <row r="126" spans="1:9">
      <c r="A126" s="15">
        <v>42155</v>
      </c>
      <c r="B126" s="16">
        <v>0.06559999999999999</v>
      </c>
      <c r="C126" s="16">
        <v>0.0576</v>
      </c>
      <c r="D126" s="16">
        <v>0.0563</v>
      </c>
      <c r="E126" s="16">
        <v>0.0579</v>
      </c>
      <c r="F126" s="16">
        <v>0.0591</v>
      </c>
      <c r="G126" s="16">
        <v>0.0588</v>
      </c>
      <c r="H126" s="16">
        <v>0.0619</v>
      </c>
      <c r="I126" s="17" t="str">
        <f>IFERROR(INDEX($B$1:$H$1,MATCH(MIN(B126:H126),B126:H126,0)),"")</f>
        <v>1 year</v>
      </c>
    </row>
    <row r="127" spans="1:9">
      <c r="A127" s="15">
        <v>42185</v>
      </c>
      <c r="B127" s="16">
        <v>0.064</v>
      </c>
      <c r="C127" s="16">
        <v>0.0567</v>
      </c>
      <c r="D127" s="16">
        <v>0.0547</v>
      </c>
      <c r="E127" s="16">
        <v>0.0561</v>
      </c>
      <c r="F127" s="16">
        <v>0.0578</v>
      </c>
      <c r="G127" s="16">
        <v>0.0582</v>
      </c>
      <c r="H127" s="16">
        <v>0.0612</v>
      </c>
      <c r="I127" s="17" t="str">
        <f>IFERROR(INDEX($B$1:$H$1,MATCH(MIN(B127:H127),B127:H127,0)),"")</f>
        <v>1 year</v>
      </c>
    </row>
    <row r="128" spans="1:9">
      <c r="A128" s="15">
        <v>42216</v>
      </c>
      <c r="B128" s="16">
        <v>0.0616</v>
      </c>
      <c r="C128" s="16">
        <v>0.0554</v>
      </c>
      <c r="D128" s="16">
        <v>0.0537</v>
      </c>
      <c r="E128" s="16">
        <v>0.0556</v>
      </c>
      <c r="F128" s="16">
        <v>0.0568</v>
      </c>
      <c r="G128" s="16">
        <v>0.0576</v>
      </c>
      <c r="H128" s="16">
        <v>0.0608</v>
      </c>
      <c r="I128" s="17" t="str">
        <f>IFERROR(INDEX($B$1:$H$1,MATCH(MIN(B128:H128),B128:H128,0)),"")</f>
        <v>1 year</v>
      </c>
    </row>
    <row r="129" spans="1:9">
      <c r="A129" s="15">
        <v>42247</v>
      </c>
      <c r="B129" s="16">
        <v>0.0612</v>
      </c>
      <c r="C129" s="16">
        <v>0.0546</v>
      </c>
      <c r="D129" s="16">
        <v>0.0525</v>
      </c>
      <c r="E129" s="16">
        <v>0.05429999999999999</v>
      </c>
      <c r="F129" s="16">
        <v>0.0555</v>
      </c>
      <c r="G129" s="16">
        <v>0.0562</v>
      </c>
      <c r="H129" s="16">
        <v>0.0601</v>
      </c>
      <c r="I129" s="17" t="str">
        <f>IFERROR(INDEX($B$1:$H$1,MATCH(MIN(B129:H129),B129:H129,0)),"")</f>
        <v>1 year</v>
      </c>
    </row>
    <row r="130" spans="1:9">
      <c r="A130" s="15">
        <v>42277</v>
      </c>
      <c r="B130" s="16">
        <v>0.0596</v>
      </c>
      <c r="C130" s="16">
        <v>0.0535</v>
      </c>
      <c r="D130" s="16">
        <v>0.05139999999999999</v>
      </c>
      <c r="E130" s="16">
        <v>0.0532</v>
      </c>
      <c r="F130" s="16">
        <v>0.0542</v>
      </c>
      <c r="G130" s="16">
        <v>0.0547</v>
      </c>
      <c r="H130" s="16">
        <v>0.0584</v>
      </c>
      <c r="I130" s="17" t="str">
        <f>IFERROR(INDEX($B$1:$H$1,MATCH(MIN(B130:H130),B130:H130,0)),"")</f>
        <v>1 year</v>
      </c>
    </row>
    <row r="131" spans="1:9">
      <c r="A131" s="15">
        <v>42308</v>
      </c>
      <c r="B131" s="16">
        <v>0.0599</v>
      </c>
      <c r="C131" s="16">
        <v>0.0529</v>
      </c>
      <c r="D131" s="16">
        <v>0.0504</v>
      </c>
      <c r="E131" s="16">
        <v>0.0525</v>
      </c>
      <c r="F131" s="16">
        <v>0.0541</v>
      </c>
      <c r="G131" s="16">
        <v>0.0539</v>
      </c>
      <c r="H131" s="16">
        <v>0.0572</v>
      </c>
      <c r="I131" s="17" t="str">
        <f>IFERROR(INDEX($B$1:$H$1,MATCH(MIN(B131:H131),B131:H131,0)),"")</f>
        <v>1 year</v>
      </c>
    </row>
    <row r="132" spans="1:9">
      <c r="A132" s="15">
        <v>42338</v>
      </c>
      <c r="B132" s="16">
        <v>0.0599</v>
      </c>
      <c r="C132" s="16">
        <v>0.0529</v>
      </c>
      <c r="D132" s="16">
        <v>0.0505</v>
      </c>
      <c r="E132" s="16">
        <v>0.0525</v>
      </c>
      <c r="F132" s="16">
        <v>0.05400000000000001</v>
      </c>
      <c r="G132" s="16">
        <v>0.0538</v>
      </c>
      <c r="H132" s="16">
        <v>0.0572</v>
      </c>
      <c r="I132" s="17" t="str">
        <f>IFERROR(INDEX($B$1:$H$1,MATCH(MIN(B132:H132),B132:H132,0)),"")</f>
        <v>1 year</v>
      </c>
    </row>
    <row r="133" spans="1:9">
      <c r="A133" s="15">
        <v>42369</v>
      </c>
      <c r="B133" s="16">
        <v>0.0585</v>
      </c>
      <c r="C133" s="16">
        <v>0.0527</v>
      </c>
      <c r="D133" s="16">
        <v>0.0503</v>
      </c>
      <c r="E133" s="16">
        <v>0.05230000000000001</v>
      </c>
      <c r="F133" s="16">
        <v>0.0542</v>
      </c>
      <c r="G133" s="16">
        <v>0.0542</v>
      </c>
      <c r="H133" s="16">
        <v>0.0576</v>
      </c>
      <c r="I133" s="17" t="str">
        <f>IFERROR(INDEX($B$1:$H$1,MATCH(MIN(B133:H133),B133:H133,0)),"")</f>
        <v>1 year</v>
      </c>
    </row>
    <row r="134" spans="1:9">
      <c r="A134" s="15">
        <v>42400</v>
      </c>
      <c r="B134" s="16">
        <v>0.058</v>
      </c>
      <c r="C134" s="16">
        <v>0.052</v>
      </c>
      <c r="D134" s="16">
        <v>0.05</v>
      </c>
      <c r="E134" s="16">
        <v>0.0521</v>
      </c>
      <c r="F134" s="16">
        <v>0.0542</v>
      </c>
      <c r="G134" s="16">
        <v>0.0542</v>
      </c>
      <c r="H134" s="16">
        <v>0.0576</v>
      </c>
      <c r="I134" s="17" t="str">
        <f>IFERROR(INDEX($B$1:$H$1,MATCH(MIN(B134:H134),B134:H134,0)),"")</f>
        <v>1 year</v>
      </c>
    </row>
    <row r="135" spans="1:9">
      <c r="A135" s="15">
        <v>42429</v>
      </c>
      <c r="B135" s="16">
        <v>0.0579</v>
      </c>
      <c r="C135" s="16">
        <v>0.0516</v>
      </c>
      <c r="D135" s="16">
        <v>0.0498</v>
      </c>
      <c r="E135" s="16">
        <v>0.0518</v>
      </c>
      <c r="F135" s="16">
        <v>0.0538</v>
      </c>
      <c r="G135" s="16">
        <v>0.05400000000000001</v>
      </c>
      <c r="H135" s="16">
        <v>0.0576</v>
      </c>
      <c r="I135" s="17" t="str">
        <f>IFERROR(INDEX($B$1:$H$1,MATCH(MIN(B135:H135),B135:H135,0)),"")</f>
        <v>1 year</v>
      </c>
    </row>
    <row r="136" spans="1:9">
      <c r="A136" s="15">
        <v>42460</v>
      </c>
      <c r="B136" s="16">
        <v>0.057</v>
      </c>
      <c r="C136" s="16">
        <v>0.0513</v>
      </c>
      <c r="D136" s="16">
        <v>0.04940000000000001</v>
      </c>
      <c r="E136" s="16">
        <v>0.0512</v>
      </c>
      <c r="F136" s="16">
        <v>0.0528</v>
      </c>
      <c r="G136" s="16">
        <v>0.0528</v>
      </c>
      <c r="H136" s="16">
        <v>0.0566</v>
      </c>
      <c r="I136" s="17" t="str">
        <f>IFERROR(INDEX($B$1:$H$1,MATCH(MIN(B136:H136),B136:H136,0)),"")</f>
        <v>1 year</v>
      </c>
    </row>
    <row r="137" spans="1:9">
      <c r="A137" s="15">
        <v>42490</v>
      </c>
      <c r="B137" s="16">
        <v>0.05690000000000001</v>
      </c>
      <c r="C137" s="16">
        <v>0.0512</v>
      </c>
      <c r="D137" s="16">
        <v>0.0492</v>
      </c>
      <c r="E137" s="16">
        <v>0.0509</v>
      </c>
      <c r="F137" s="16">
        <v>0.0527</v>
      </c>
      <c r="G137" s="16">
        <v>0.0528</v>
      </c>
      <c r="H137" s="16">
        <v>0.0565</v>
      </c>
      <c r="I137" s="17" t="str">
        <f>IFERROR(INDEX($B$1:$H$1,MATCH(MIN(B137:H137),B137:H137,0)),"")</f>
        <v>1 year</v>
      </c>
    </row>
    <row r="138" spans="1:9">
      <c r="A138" s="15">
        <v>42521</v>
      </c>
      <c r="B138" s="16">
        <v>0.05690000000000001</v>
      </c>
      <c r="C138" s="16">
        <v>0.0508</v>
      </c>
      <c r="D138" s="16">
        <v>0.0491</v>
      </c>
      <c r="E138" s="16">
        <v>0.0504</v>
      </c>
      <c r="F138" s="16">
        <v>0.0522</v>
      </c>
      <c r="G138" s="16">
        <v>0.0525</v>
      </c>
      <c r="H138" s="16">
        <v>0.0562</v>
      </c>
      <c r="I138" s="17" t="str">
        <f>IFERROR(INDEX($B$1:$H$1,MATCH(MIN(B138:H138),B138:H138,0)),"")</f>
        <v>1 year</v>
      </c>
    </row>
    <row r="139" spans="1:9">
      <c r="A139" s="15">
        <v>42551</v>
      </c>
      <c r="B139" s="16">
        <v>0.057</v>
      </c>
      <c r="C139" s="16">
        <v>0.0508</v>
      </c>
      <c r="D139" s="16">
        <v>0.0489</v>
      </c>
      <c r="E139" s="16">
        <v>0.0505</v>
      </c>
      <c r="F139" s="16">
        <v>0.0519</v>
      </c>
      <c r="G139" s="16">
        <v>0.0525</v>
      </c>
      <c r="H139" s="16">
        <v>0.0562</v>
      </c>
      <c r="I139" s="17" t="str">
        <f>IFERROR(INDEX($B$1:$H$1,MATCH(MIN(B139:H139),B139:H139,0)),"")</f>
        <v>1 year</v>
      </c>
    </row>
    <row r="140" spans="1:9">
      <c r="A140" s="15">
        <v>42582</v>
      </c>
      <c r="B140" s="16">
        <v>0.057</v>
      </c>
      <c r="C140" s="16">
        <v>0.0508</v>
      </c>
      <c r="D140" s="16">
        <v>0.0491</v>
      </c>
      <c r="E140" s="16">
        <v>0.0505</v>
      </c>
      <c r="F140" s="16">
        <v>0.0518</v>
      </c>
      <c r="G140" s="16">
        <v>0.0525</v>
      </c>
      <c r="H140" s="16">
        <v>0.0562</v>
      </c>
      <c r="I140" s="17" t="str">
        <f>IFERROR(INDEX($B$1:$H$1,MATCH(MIN(B140:H140),B140:H140,0)),"")</f>
        <v>1 year</v>
      </c>
    </row>
    <row r="141" spans="1:9">
      <c r="A141" s="15">
        <v>42613</v>
      </c>
      <c r="B141" s="16">
        <v>0.0564</v>
      </c>
      <c r="C141" s="16">
        <v>0.0508</v>
      </c>
      <c r="D141" s="16">
        <v>0.0492</v>
      </c>
      <c r="E141" s="16">
        <v>0.0506</v>
      </c>
      <c r="F141" s="16">
        <v>0.0522</v>
      </c>
      <c r="G141" s="16">
        <v>0.0525</v>
      </c>
      <c r="H141" s="16">
        <v>0.0562</v>
      </c>
      <c r="I141" s="17" t="str">
        <f>IFERROR(INDEX($B$1:$H$1,MATCH(MIN(B141:H141),B141:H141,0)),"")</f>
        <v>1 year</v>
      </c>
    </row>
    <row r="142" spans="1:9">
      <c r="A142" s="15">
        <v>42643</v>
      </c>
      <c r="B142" s="16">
        <v>0.0564</v>
      </c>
      <c r="C142" s="16">
        <v>0.0508</v>
      </c>
      <c r="D142" s="16">
        <v>0.049</v>
      </c>
      <c r="E142" s="16">
        <v>0.0506</v>
      </c>
      <c r="F142" s="16">
        <v>0.0522</v>
      </c>
      <c r="G142" s="16">
        <v>0.0525</v>
      </c>
      <c r="H142" s="16">
        <v>0.0562</v>
      </c>
      <c r="I142" s="17" t="str">
        <f>IFERROR(INDEX($B$1:$H$1,MATCH(MIN(B142:H142),B142:H142,0)),"")</f>
        <v>1 year</v>
      </c>
    </row>
    <row r="143" spans="1:9">
      <c r="A143" s="15">
        <v>42674</v>
      </c>
      <c r="B143" s="16">
        <v>0.0564</v>
      </c>
      <c r="C143" s="16">
        <v>0.0512</v>
      </c>
      <c r="D143" s="16">
        <v>0.0493</v>
      </c>
      <c r="E143" s="16">
        <v>0.0506</v>
      </c>
      <c r="F143" s="16">
        <v>0.05230000000000001</v>
      </c>
      <c r="G143" s="16">
        <v>0.05230000000000001</v>
      </c>
      <c r="H143" s="16">
        <v>0.0561</v>
      </c>
      <c r="I143" s="17" t="str">
        <f>IFERROR(INDEX($B$1:$H$1,MATCH(MIN(B143:H143),B143:H143,0)),"")</f>
        <v>1 year</v>
      </c>
    </row>
    <row r="144" spans="1:9">
      <c r="A144" s="15">
        <v>42704</v>
      </c>
      <c r="B144" s="16">
        <v>0.057</v>
      </c>
      <c r="C144" s="16">
        <v>0.0513</v>
      </c>
      <c r="D144" s="16">
        <v>0.04940000000000001</v>
      </c>
      <c r="E144" s="16">
        <v>0.0509</v>
      </c>
      <c r="F144" s="16">
        <v>0.0533</v>
      </c>
      <c r="G144" s="16">
        <v>0.0537</v>
      </c>
      <c r="H144" s="16">
        <v>0.0574</v>
      </c>
      <c r="I144" s="17" t="str">
        <f>IFERROR(INDEX($B$1:$H$1,MATCH(MIN(B144:H144),B144:H144,0)),"")</f>
        <v>1 year</v>
      </c>
    </row>
    <row r="145" spans="1:9">
      <c r="A145" s="15">
        <v>42735</v>
      </c>
      <c r="B145" s="16">
        <v>0.057</v>
      </c>
      <c r="C145" s="16">
        <v>0.05139999999999999</v>
      </c>
      <c r="D145" s="16">
        <v>0.04940000000000001</v>
      </c>
      <c r="E145" s="16">
        <v>0.05139999999999999</v>
      </c>
      <c r="F145" s="16">
        <v>0.05400000000000001</v>
      </c>
      <c r="G145" s="16">
        <v>0.0552</v>
      </c>
      <c r="H145" s="16">
        <v>0.059</v>
      </c>
      <c r="I145" s="17" t="str">
        <f>IFERROR(INDEX($B$1:$H$1,MATCH(MIN(B145:H145),B145:H145,0)),"")</f>
        <v>1 year</v>
      </c>
    </row>
    <row r="146" spans="1:9">
      <c r="A146" s="15">
        <v>42766</v>
      </c>
      <c r="B146" s="16">
        <v>0.0563</v>
      </c>
      <c r="C146" s="16">
        <v>0.0508</v>
      </c>
      <c r="D146" s="16">
        <v>0.0483</v>
      </c>
      <c r="E146" s="16">
        <v>0.0504</v>
      </c>
      <c r="F146" s="16">
        <v>0.0534</v>
      </c>
      <c r="G146" s="16">
        <v>0.057</v>
      </c>
      <c r="H146" s="16">
        <v>0.0587</v>
      </c>
      <c r="I146" s="17" t="str">
        <f>IFERROR(INDEX($B$1:$H$1,MATCH(MIN(B146:H146),B146:H146,0)),"")</f>
        <v>1 year</v>
      </c>
    </row>
    <row r="147" spans="1:9">
      <c r="A147" s="15">
        <v>42794</v>
      </c>
      <c r="B147" s="16">
        <v>0.0564</v>
      </c>
      <c r="C147" s="16">
        <v>0.0508</v>
      </c>
      <c r="D147" s="16">
        <v>0.0484</v>
      </c>
      <c r="E147" s="16">
        <v>0.0505</v>
      </c>
      <c r="F147" s="16">
        <v>0.0529</v>
      </c>
      <c r="G147" s="16">
        <v>0.0561</v>
      </c>
      <c r="H147" s="16">
        <v>0.0579</v>
      </c>
      <c r="I147" s="17" t="str">
        <f>IFERROR(INDEX($B$1:$H$1,MATCH(MIN(B147:H147),B147:H147,0)),"")</f>
        <v>1 year</v>
      </c>
    </row>
    <row r="148" spans="1:9">
      <c r="A148" s="15">
        <v>42825</v>
      </c>
      <c r="B148" s="16">
        <v>0.05690000000000001</v>
      </c>
      <c r="C148" s="16">
        <v>0.05110000000000001</v>
      </c>
      <c r="D148" s="16">
        <v>0.0488</v>
      </c>
      <c r="E148" s="16">
        <v>0.0508</v>
      </c>
      <c r="F148" s="16">
        <v>0.0535</v>
      </c>
      <c r="G148" s="16">
        <v>0.0568</v>
      </c>
      <c r="H148" s="16">
        <v>0.0593</v>
      </c>
      <c r="I148" s="17" t="str">
        <f>IFERROR(INDEX($B$1:$H$1,MATCH(MIN(B148:H148),B148:H148,0)),"")</f>
        <v>1 year</v>
      </c>
    </row>
    <row r="149" spans="1:9">
      <c r="A149" s="15">
        <v>42855</v>
      </c>
      <c r="B149" s="16">
        <v>0.0571</v>
      </c>
      <c r="C149" s="16">
        <v>0.05110000000000001</v>
      </c>
      <c r="D149" s="16">
        <v>0.0487</v>
      </c>
      <c r="E149" s="16">
        <v>0.0507</v>
      </c>
      <c r="F149" s="16">
        <v>0.0535</v>
      </c>
      <c r="G149" s="16">
        <v>0.0568</v>
      </c>
      <c r="H149" s="16">
        <v>0.0593</v>
      </c>
      <c r="I149" s="17" t="str">
        <f>IFERROR(INDEX($B$1:$H$1,MATCH(MIN(B149:H149),B149:H149,0)),"")</f>
        <v>1 year</v>
      </c>
    </row>
    <row r="150" spans="1:9">
      <c r="A150" s="15">
        <v>42886</v>
      </c>
      <c r="B150" s="16">
        <v>0.0573</v>
      </c>
      <c r="C150" s="16">
        <v>0.05110000000000001</v>
      </c>
      <c r="D150" s="16">
        <v>0.0487</v>
      </c>
      <c r="E150" s="16">
        <v>0.0509</v>
      </c>
      <c r="F150" s="16">
        <v>0.0537</v>
      </c>
      <c r="G150" s="16">
        <v>0.0572</v>
      </c>
      <c r="H150" s="16">
        <v>0.0597</v>
      </c>
      <c r="I150" s="17" t="str">
        <f>IFERROR(INDEX($B$1:$H$1,MATCH(MIN(B150:H150),B150:H150,0)),"")</f>
        <v>1 year</v>
      </c>
    </row>
    <row r="151" spans="1:9">
      <c r="A151" s="15">
        <v>42916</v>
      </c>
      <c r="B151" s="16">
        <v>0.0574</v>
      </c>
      <c r="C151" s="16">
        <v>0.05110000000000001</v>
      </c>
      <c r="D151" s="16">
        <v>0.0487</v>
      </c>
      <c r="E151" s="16">
        <v>0.0509</v>
      </c>
      <c r="F151" s="16">
        <v>0.0538</v>
      </c>
      <c r="G151" s="16">
        <v>0.0572</v>
      </c>
      <c r="H151" s="16">
        <v>0.0597</v>
      </c>
      <c r="I151" s="17" t="str">
        <f>IFERROR(INDEX($B$1:$H$1,MATCH(MIN(B151:H151),B151:H151,0)),"")</f>
        <v>1 year</v>
      </c>
    </row>
    <row r="152" spans="1:9">
      <c r="A152" s="15">
        <v>42947</v>
      </c>
      <c r="B152" s="16">
        <v>0.0575</v>
      </c>
      <c r="C152" s="16">
        <v>0.05110000000000001</v>
      </c>
      <c r="D152" s="16">
        <v>0.049</v>
      </c>
      <c r="E152" s="16">
        <v>0.05139999999999999</v>
      </c>
      <c r="F152" s="16">
        <v>0.0539</v>
      </c>
      <c r="G152" s="16">
        <v>0.0576</v>
      </c>
      <c r="H152" s="16">
        <v>0.05980000000000001</v>
      </c>
      <c r="I152" s="17" t="str">
        <f>IFERROR(INDEX($B$1:$H$1,MATCH(MIN(B152:H152),B152:H152,0)),"")</f>
        <v>1 year</v>
      </c>
    </row>
    <row r="153" spans="1:9">
      <c r="A153" s="15">
        <v>42978</v>
      </c>
      <c r="B153" s="16">
        <v>0.0575</v>
      </c>
      <c r="C153" s="16">
        <v>0.051</v>
      </c>
      <c r="D153" s="16">
        <v>0.0489</v>
      </c>
      <c r="E153" s="16">
        <v>0.051</v>
      </c>
      <c r="F153" s="16">
        <v>0.0535</v>
      </c>
      <c r="G153" s="16">
        <v>0.0573</v>
      </c>
      <c r="H153" s="16">
        <v>0.0595</v>
      </c>
      <c r="I153" s="17" t="str">
        <f>IFERROR(INDEX($B$1:$H$1,MATCH(MIN(B153:H153),B153:H153,0)),"")</f>
        <v>1 year</v>
      </c>
    </row>
    <row r="154" spans="1:9">
      <c r="A154" s="15">
        <v>43008</v>
      </c>
      <c r="B154" s="16">
        <v>0.0575</v>
      </c>
      <c r="C154" s="16">
        <v>0.051</v>
      </c>
      <c r="D154" s="16">
        <v>0.049</v>
      </c>
      <c r="E154" s="16">
        <v>0.0508</v>
      </c>
      <c r="F154" s="16">
        <v>0.0533</v>
      </c>
      <c r="G154" s="16">
        <v>0.0573</v>
      </c>
      <c r="H154" s="16">
        <v>0.0595</v>
      </c>
      <c r="I154" s="17" t="str">
        <f>IFERROR(INDEX($B$1:$H$1,MATCH(MIN(B154:H154),B154:H154,0)),"")</f>
        <v>1 year</v>
      </c>
    </row>
    <row r="155" spans="1:9">
      <c r="A155" s="15">
        <v>43039</v>
      </c>
      <c r="B155" s="16">
        <v>0.0575</v>
      </c>
      <c r="C155" s="16">
        <v>0.051</v>
      </c>
      <c r="D155" s="16">
        <v>0.049</v>
      </c>
      <c r="E155" s="16">
        <v>0.0508</v>
      </c>
      <c r="F155" s="16">
        <v>0.0532</v>
      </c>
      <c r="G155" s="16">
        <v>0.0573</v>
      </c>
      <c r="H155" s="16">
        <v>0.0592</v>
      </c>
      <c r="I155" s="17" t="str">
        <f>IFERROR(INDEX($B$1:$H$1,MATCH(MIN(B155:H155),B155:H155,0)),"")</f>
        <v>1 year</v>
      </c>
    </row>
    <row r="156" spans="1:9">
      <c r="A156" s="15">
        <v>43069</v>
      </c>
      <c r="B156" s="16">
        <v>0.0575</v>
      </c>
      <c r="C156" s="16">
        <v>0.051</v>
      </c>
      <c r="D156" s="16">
        <v>0.0489</v>
      </c>
      <c r="E156" s="16">
        <v>0.0508</v>
      </c>
      <c r="F156" s="16">
        <v>0.053</v>
      </c>
      <c r="G156" s="16">
        <v>0.0572</v>
      </c>
      <c r="H156" s="16">
        <v>0.0592</v>
      </c>
      <c r="I156" s="17" t="str">
        <f>IFERROR(INDEX($B$1:$H$1,MATCH(MIN(B156:H156),B156:H156,0)),"")</f>
        <v>1 year</v>
      </c>
    </row>
    <row r="157" spans="1:9">
      <c r="A157" s="15">
        <v>43100</v>
      </c>
      <c r="B157" s="16">
        <v>0.0575</v>
      </c>
      <c r="C157" s="16">
        <v>0.051</v>
      </c>
      <c r="D157" s="16">
        <v>0.0488</v>
      </c>
      <c r="E157" s="16">
        <v>0.0508</v>
      </c>
      <c r="F157" s="16">
        <v>0.053</v>
      </c>
      <c r="G157" s="16">
        <v>0.057</v>
      </c>
      <c r="H157" s="16">
        <v>0.0591</v>
      </c>
      <c r="I157" s="17" t="str">
        <f>IFERROR(INDEX($B$1:$H$1,MATCH(MIN(B157:H157),B157:H157,0)),"")</f>
        <v>1 year</v>
      </c>
    </row>
    <row r="158" spans="1:9">
      <c r="A158" s="15">
        <v>43131</v>
      </c>
      <c r="B158" s="16">
        <v>0.0575</v>
      </c>
      <c r="C158" s="16">
        <v>0.051</v>
      </c>
      <c r="D158" s="16">
        <v>0.0488</v>
      </c>
      <c r="E158" s="16">
        <v>0.0508</v>
      </c>
      <c r="F158" s="16">
        <v>0.053</v>
      </c>
      <c r="G158" s="16">
        <v>0.057</v>
      </c>
      <c r="H158" s="16">
        <v>0.0591</v>
      </c>
      <c r="I158" s="17" t="str">
        <f>IFERROR(INDEX($B$1:$H$1,MATCH(MIN(B158:H158),B158:H158,0)),"")</f>
        <v>1 year</v>
      </c>
    </row>
    <row r="159" spans="1:9">
      <c r="A159" s="15">
        <v>43159</v>
      </c>
      <c r="B159" s="16">
        <v>0.0575</v>
      </c>
      <c r="C159" s="16">
        <v>0.051</v>
      </c>
      <c r="D159" s="16">
        <v>0.0486</v>
      </c>
      <c r="E159" s="16">
        <v>0.0508</v>
      </c>
      <c r="F159" s="16">
        <v>0.053</v>
      </c>
      <c r="G159" s="16">
        <v>0.057</v>
      </c>
      <c r="H159" s="16">
        <v>0.0591</v>
      </c>
      <c r="I159" s="17" t="str">
        <f>IFERROR(INDEX($B$1:$H$1,MATCH(MIN(B159:H159),B159:H159,0)),"")</f>
        <v>1 year</v>
      </c>
    </row>
    <row r="160" spans="1:9">
      <c r="A160" s="15">
        <v>43190</v>
      </c>
      <c r="B160" s="16">
        <v>0.0575</v>
      </c>
      <c r="C160" s="16">
        <v>0.0513</v>
      </c>
      <c r="D160" s="16">
        <v>0.0487</v>
      </c>
      <c r="E160" s="16">
        <v>0.0506</v>
      </c>
      <c r="F160" s="16">
        <v>0.053</v>
      </c>
      <c r="G160" s="16">
        <v>0.0573</v>
      </c>
      <c r="H160" s="16">
        <v>0.0593</v>
      </c>
      <c r="I160" s="17" t="str">
        <f>IFERROR(INDEX($B$1:$H$1,MATCH(MIN(B160:H160),B160:H160,0)),"")</f>
        <v>1 year</v>
      </c>
    </row>
    <row r="161" spans="1:9">
      <c r="A161" s="15">
        <v>43220</v>
      </c>
      <c r="B161" s="16">
        <v>0.0576</v>
      </c>
      <c r="C161" s="16">
        <v>0.0513</v>
      </c>
      <c r="D161" s="16">
        <v>0.0486</v>
      </c>
      <c r="E161" s="16">
        <v>0.0505</v>
      </c>
      <c r="F161" s="16">
        <v>0.0528</v>
      </c>
      <c r="G161" s="16">
        <v>0.05690000000000001</v>
      </c>
      <c r="H161" s="16">
        <v>0.059</v>
      </c>
      <c r="I161" s="17" t="str">
        <f>IFERROR(INDEX($B$1:$H$1,MATCH(MIN(B161:H161),B161:H161,0)),"")</f>
        <v>1 year</v>
      </c>
    </row>
    <row r="162" spans="1:9">
      <c r="A162" s="15">
        <v>43251</v>
      </c>
      <c r="B162" s="16">
        <v>0.05769999999999999</v>
      </c>
      <c r="C162" s="16">
        <v>0.0513</v>
      </c>
      <c r="D162" s="16">
        <v>0.0484</v>
      </c>
      <c r="E162" s="16">
        <v>0.05019999999999999</v>
      </c>
      <c r="F162" s="16">
        <v>0.0527</v>
      </c>
      <c r="G162" s="16">
        <v>0.05690000000000001</v>
      </c>
      <c r="H162" s="16">
        <v>0.059</v>
      </c>
      <c r="I162" s="17" t="str">
        <f>IFERROR(INDEX($B$1:$H$1,MATCH(MIN(B162:H162),B162:H162,0)),"")</f>
        <v>1 year</v>
      </c>
    </row>
    <row r="163" spans="1:9">
      <c r="A163" s="15">
        <v>43281</v>
      </c>
      <c r="B163" s="16">
        <v>0.05769999999999999</v>
      </c>
      <c r="C163" s="16">
        <v>0.05139999999999999</v>
      </c>
      <c r="D163" s="16">
        <v>0.0486</v>
      </c>
      <c r="E163" s="16">
        <v>0.05019999999999999</v>
      </c>
      <c r="F163" s="16">
        <v>0.0528</v>
      </c>
      <c r="G163" s="16">
        <v>0.0568</v>
      </c>
      <c r="H163" s="16">
        <v>0.05889999999999999</v>
      </c>
      <c r="I163" s="17" t="str">
        <f>IFERROR(INDEX($B$1:$H$1,MATCH(MIN(B163:H163),B163:H163,0)),"")</f>
        <v>1 year</v>
      </c>
    </row>
    <row r="164" spans="1:9">
      <c r="A164" s="15">
        <v>43312</v>
      </c>
      <c r="B164" s="16">
        <v>0.05769999999999999</v>
      </c>
      <c r="C164" s="16">
        <v>0.05139999999999999</v>
      </c>
      <c r="D164" s="16">
        <v>0.0483</v>
      </c>
      <c r="E164" s="16">
        <v>0.0501</v>
      </c>
      <c r="F164" s="16">
        <v>0.0526</v>
      </c>
      <c r="G164" s="16">
        <v>0.0565</v>
      </c>
      <c r="H164" s="16">
        <v>0.05860000000000001</v>
      </c>
      <c r="I164" s="17" t="str">
        <f>IFERROR(INDEX($B$1:$H$1,MATCH(MIN(B164:H164),B164:H164,0)),"")</f>
        <v>1 year</v>
      </c>
    </row>
    <row r="165" spans="1:9">
      <c r="A165" s="15">
        <v>43343</v>
      </c>
      <c r="B165" s="16">
        <v>0.05769999999999999</v>
      </c>
      <c r="C165" s="16">
        <v>0.05139999999999999</v>
      </c>
      <c r="D165" s="16">
        <v>0.0481</v>
      </c>
      <c r="E165" s="16">
        <v>0.05</v>
      </c>
      <c r="F165" s="16">
        <v>0.0526</v>
      </c>
      <c r="G165" s="16">
        <v>0.0561</v>
      </c>
      <c r="H165" s="16">
        <v>0.058</v>
      </c>
      <c r="I165" s="17" t="str">
        <f>IFERROR(INDEX($B$1:$H$1,MATCH(MIN(B165:H165),B165:H165,0)),"")</f>
        <v>1 year</v>
      </c>
    </row>
    <row r="166" spans="1:9">
      <c r="A166" s="15">
        <v>43373</v>
      </c>
      <c r="B166" s="16">
        <v>0.05769999999999999</v>
      </c>
      <c r="C166" s="16">
        <v>0.0509</v>
      </c>
      <c r="D166" s="16">
        <v>0.0478</v>
      </c>
      <c r="E166" s="16">
        <v>0.0493</v>
      </c>
      <c r="F166" s="16">
        <v>0.0509</v>
      </c>
      <c r="G166" s="16">
        <v>0.0538</v>
      </c>
      <c r="H166" s="16">
        <v>0.0556</v>
      </c>
      <c r="I166" s="17" t="str">
        <f>IFERROR(INDEX($B$1:$H$1,MATCH(MIN(B166:H166),B166:H166,0)),"")</f>
        <v>1 year</v>
      </c>
    </row>
    <row r="167" spans="1:9">
      <c r="A167" s="15">
        <v>43404</v>
      </c>
      <c r="B167" s="16">
        <v>0.05769999999999999</v>
      </c>
      <c r="C167" s="16">
        <v>0.0507</v>
      </c>
      <c r="D167" s="16">
        <v>0.04769999999999999</v>
      </c>
      <c r="E167" s="16">
        <v>0.0492</v>
      </c>
      <c r="F167" s="16">
        <v>0.0504</v>
      </c>
      <c r="G167" s="16">
        <v>0.0533</v>
      </c>
      <c r="H167" s="16">
        <v>0.0551</v>
      </c>
      <c r="I167" s="17" t="str">
        <f>IFERROR(INDEX($B$1:$H$1,MATCH(MIN(B167:H167),B167:H167,0)),"")</f>
        <v>1 year</v>
      </c>
    </row>
    <row r="168" spans="1:9">
      <c r="A168" s="15">
        <v>43434</v>
      </c>
      <c r="B168" s="16">
        <v>0.05769999999999999</v>
      </c>
      <c r="C168" s="16">
        <v>0.0504</v>
      </c>
      <c r="D168" s="16">
        <v>0.0472</v>
      </c>
      <c r="E168" s="16">
        <v>0.0491</v>
      </c>
      <c r="F168" s="16">
        <v>0.0505</v>
      </c>
      <c r="G168" s="16">
        <v>0.0533</v>
      </c>
      <c r="H168" s="16">
        <v>0.0551</v>
      </c>
      <c r="I168" s="17" t="str">
        <f>IFERROR(INDEX($B$1:$H$1,MATCH(MIN(B168:H168),B168:H168,0)),"")</f>
        <v>1 year</v>
      </c>
    </row>
    <row r="169" spans="1:9">
      <c r="A169" s="15">
        <v>43465</v>
      </c>
      <c r="B169" s="16">
        <v>0.05769999999999999</v>
      </c>
      <c r="C169" s="16">
        <v>0.051</v>
      </c>
      <c r="D169" s="16">
        <v>0.0475</v>
      </c>
      <c r="E169" s="16">
        <v>0.0493</v>
      </c>
      <c r="F169" s="16">
        <v>0.0507</v>
      </c>
      <c r="G169" s="16">
        <v>0.05400000000000001</v>
      </c>
      <c r="H169" s="16">
        <v>0.0558</v>
      </c>
      <c r="I169" s="17" t="str">
        <f>IFERROR(INDEX($B$1:$H$1,MATCH(MIN(B169:H169),B169:H169,0)),"")</f>
        <v>1 year</v>
      </c>
    </row>
    <row r="170" spans="1:9">
      <c r="A170" s="15">
        <v>43496</v>
      </c>
      <c r="B170" s="16">
        <v>0.05769999999999999</v>
      </c>
      <c r="C170" s="16">
        <v>0.051</v>
      </c>
      <c r="D170" s="16">
        <v>0.0475</v>
      </c>
      <c r="E170" s="16">
        <v>0.0493</v>
      </c>
      <c r="F170" s="16">
        <v>0.0507</v>
      </c>
      <c r="G170" s="16">
        <v>0.05400000000000001</v>
      </c>
      <c r="H170" s="16">
        <v>0.0558</v>
      </c>
      <c r="I170" s="17" t="str">
        <f>IFERROR(INDEX($B$1:$H$1,MATCH(MIN(B170:H170),B170:H170,0)),"")</f>
        <v>1 year</v>
      </c>
    </row>
    <row r="171" spans="1:9">
      <c r="A171" s="15">
        <v>43524</v>
      </c>
      <c r="B171" s="16">
        <v>0.05769999999999999</v>
      </c>
      <c r="C171" s="16">
        <v>0.0509</v>
      </c>
      <c r="D171" s="16">
        <v>0.0474</v>
      </c>
      <c r="E171" s="16">
        <v>0.0492</v>
      </c>
      <c r="F171" s="16">
        <v>0.0507</v>
      </c>
      <c r="G171" s="16">
        <v>0.0539</v>
      </c>
      <c r="H171" s="16">
        <v>0.0556</v>
      </c>
      <c r="I171" s="17" t="str">
        <f>IFERROR(INDEX($B$1:$H$1,MATCH(MIN(B171:H171),B171:H171,0)),"")</f>
        <v>1 year</v>
      </c>
    </row>
    <row r="172" spans="1:9">
      <c r="A172" s="15">
        <v>43555</v>
      </c>
      <c r="B172" s="16">
        <v>0.0578</v>
      </c>
      <c r="C172" s="16">
        <v>0.0508</v>
      </c>
      <c r="D172" s="16">
        <v>0.047</v>
      </c>
      <c r="E172" s="16">
        <v>0.0481</v>
      </c>
      <c r="F172" s="16">
        <v>0.05</v>
      </c>
      <c r="G172" s="16">
        <v>0.0532</v>
      </c>
      <c r="H172" s="16">
        <v>0.0544</v>
      </c>
      <c r="I172" s="17" t="str">
        <f>IFERROR(INDEX($B$1:$H$1,MATCH(MIN(B172:H172),B172:H172,0)),"")</f>
        <v>1 year</v>
      </c>
    </row>
    <row r="173" spans="1:9">
      <c r="A173" s="15">
        <v>43585</v>
      </c>
      <c r="B173" s="16">
        <v>0.0578</v>
      </c>
      <c r="C173" s="16">
        <v>0.0508</v>
      </c>
      <c r="D173" s="16">
        <v>0.047</v>
      </c>
      <c r="E173" s="16">
        <v>0.0478</v>
      </c>
      <c r="F173" s="16">
        <v>0.0484</v>
      </c>
      <c r="G173" s="16">
        <v>0.0507</v>
      </c>
      <c r="H173" s="16">
        <v>0.0518</v>
      </c>
      <c r="I173" s="17" t="str">
        <f>IFERROR(INDEX($B$1:$H$1,MATCH(MIN(B173:H173),B173:H173,0)),"")</f>
        <v>1 year</v>
      </c>
    </row>
    <row r="174" spans="1:9">
      <c r="A174" s="15">
        <v>43616</v>
      </c>
      <c r="B174" s="16">
        <v>0.0574</v>
      </c>
      <c r="C174" s="16">
        <v>0.0508</v>
      </c>
      <c r="D174" s="16">
        <v>0.0464</v>
      </c>
      <c r="E174" s="16">
        <v>0.0473</v>
      </c>
      <c r="F174" s="16">
        <v>0.0473</v>
      </c>
      <c r="G174" s="16">
        <v>0.0493</v>
      </c>
      <c r="H174" s="16">
        <v>0.0504</v>
      </c>
      <c r="I174" s="17" t="str">
        <f>IFERROR(INDEX($B$1:$H$1,MATCH(MIN(B174:H174),B174:H174,0)),"")</f>
        <v>1 year</v>
      </c>
    </row>
    <row r="175" spans="1:9">
      <c r="A175" s="15">
        <v>43646</v>
      </c>
      <c r="B175" s="16">
        <v>0.0573</v>
      </c>
      <c r="C175" s="16">
        <v>0.05019999999999999</v>
      </c>
      <c r="D175" s="16">
        <v>0.0461</v>
      </c>
      <c r="E175" s="16">
        <v>0.0469</v>
      </c>
      <c r="F175" s="16">
        <v>0.0472</v>
      </c>
      <c r="G175" s="16">
        <v>0.0493</v>
      </c>
      <c r="H175" s="16">
        <v>0.0504</v>
      </c>
      <c r="I175" s="17" t="str">
        <f>IFERROR(INDEX($B$1:$H$1,MATCH(MIN(B175:H175),B175:H175,0)),"")</f>
        <v>1 year</v>
      </c>
    </row>
    <row r="176" spans="1:9">
      <c r="A176" s="15">
        <v>43677</v>
      </c>
      <c r="B176" s="16">
        <v>0.0573</v>
      </c>
      <c r="C176" s="16">
        <v>0.05</v>
      </c>
      <c r="D176" s="16">
        <v>0.046</v>
      </c>
      <c r="E176" s="16">
        <v>0.0467</v>
      </c>
      <c r="F176" s="16">
        <v>0.0471</v>
      </c>
      <c r="G176" s="16">
        <v>0.0492</v>
      </c>
      <c r="H176" s="16">
        <v>0.0504</v>
      </c>
      <c r="I176" s="17" t="str">
        <f>IFERROR(INDEX($B$1:$H$1,MATCH(MIN(B176:H176),B176:H176,0)),"")</f>
        <v>1 year</v>
      </c>
    </row>
    <row r="177" spans="1:9">
      <c r="A177" s="15">
        <v>43708</v>
      </c>
      <c r="B177" s="16">
        <v>0.0549</v>
      </c>
      <c r="C177" s="16">
        <v>0.049</v>
      </c>
      <c r="D177" s="16">
        <v>0.0451</v>
      </c>
      <c r="E177" s="16">
        <v>0.0459</v>
      </c>
      <c r="F177" s="16">
        <v>0.0467</v>
      </c>
      <c r="G177" s="16">
        <v>0.0491</v>
      </c>
      <c r="H177" s="16">
        <v>0.0503</v>
      </c>
      <c r="I177" s="17" t="str">
        <f>IFERROR(INDEX($B$1:$H$1,MATCH(MIN(B177:H177),B177:H177,0)),"")</f>
        <v>1 year</v>
      </c>
    </row>
    <row r="178" spans="1:9">
      <c r="A178" s="15">
        <v>43738</v>
      </c>
      <c r="B178" s="16">
        <v>0.0545</v>
      </c>
      <c r="C178" s="16">
        <v>0.0486</v>
      </c>
      <c r="D178" s="16">
        <v>0.0443</v>
      </c>
      <c r="E178" s="16">
        <v>0.04480000000000001</v>
      </c>
      <c r="F178" s="16">
        <v>0.046</v>
      </c>
      <c r="G178" s="16">
        <v>0.04849999999999999</v>
      </c>
      <c r="H178" s="16">
        <v>0.0495</v>
      </c>
      <c r="I178" s="17" t="str">
        <f>IFERROR(INDEX($B$1:$H$1,MATCH(MIN(B178:H178),B178:H178,0)),"")</f>
        <v>1 year</v>
      </c>
    </row>
    <row r="179" spans="1:9">
      <c r="A179" s="15">
        <v>43769</v>
      </c>
      <c r="B179" s="16">
        <v>0.0545</v>
      </c>
      <c r="C179" s="16">
        <v>0.0472</v>
      </c>
      <c r="D179" s="16">
        <v>0.0435</v>
      </c>
      <c r="E179" s="16">
        <v>0.0441</v>
      </c>
      <c r="F179" s="16">
        <v>0.04480000000000001</v>
      </c>
      <c r="G179" s="16">
        <v>0.0476</v>
      </c>
      <c r="H179" s="16">
        <v>0.0486</v>
      </c>
      <c r="I179" s="17" t="str">
        <f>IFERROR(INDEX($B$1:$H$1,MATCH(MIN(B179:H179),B179:H179,0)),"")</f>
        <v>1 year</v>
      </c>
    </row>
    <row r="180" spans="1:9">
      <c r="A180" s="15">
        <v>43799</v>
      </c>
      <c r="B180" s="16">
        <v>0.0545</v>
      </c>
      <c r="C180" s="16">
        <v>0.0466</v>
      </c>
      <c r="D180" s="16">
        <v>0.0433</v>
      </c>
      <c r="E180" s="16">
        <v>0.0442</v>
      </c>
      <c r="F180" s="16">
        <v>0.045</v>
      </c>
      <c r="G180" s="16">
        <v>0.048</v>
      </c>
      <c r="H180" s="16">
        <v>0.049</v>
      </c>
      <c r="I180" s="17" t="str">
        <f>IFERROR(INDEX($B$1:$H$1,MATCH(MIN(B180:H180),B180:H180,0)),"")</f>
        <v>1 year</v>
      </c>
    </row>
    <row r="181" spans="1:9">
      <c r="A181" s="15">
        <v>43830</v>
      </c>
      <c r="B181" s="16">
        <v>0.0545</v>
      </c>
      <c r="C181" s="16">
        <v>0.0466</v>
      </c>
      <c r="D181" s="16">
        <v>0.0432</v>
      </c>
      <c r="E181" s="16">
        <v>0.0444</v>
      </c>
      <c r="F181" s="16">
        <v>0.045</v>
      </c>
      <c r="G181" s="16">
        <v>0.048</v>
      </c>
      <c r="H181" s="16">
        <v>0.0491</v>
      </c>
      <c r="I181" s="17" t="str">
        <f>IFERROR(INDEX($B$1:$H$1,MATCH(MIN(B181:H181),B181:H181,0)),"")</f>
        <v>1 year</v>
      </c>
    </row>
    <row r="182" spans="1:9">
      <c r="A182" s="15">
        <v>43861</v>
      </c>
      <c r="B182" s="16">
        <v>0.0545</v>
      </c>
      <c r="C182" s="16">
        <v>0.0466</v>
      </c>
      <c r="D182" s="16">
        <v>0.0432</v>
      </c>
      <c r="E182" s="16">
        <v>0.0444</v>
      </c>
      <c r="F182" s="16">
        <v>0.045</v>
      </c>
      <c r="G182" s="16">
        <v>0.048</v>
      </c>
      <c r="H182" s="16">
        <v>0.0491</v>
      </c>
      <c r="I182" s="17" t="str">
        <f>IFERROR(INDEX($B$1:$H$1,MATCH(MIN(B182:H182),B182:H182,0)),"")</f>
        <v>1 year</v>
      </c>
    </row>
    <row r="183" spans="1:9">
      <c r="A183" s="15">
        <v>43890</v>
      </c>
      <c r="B183" s="16">
        <v>0.0545</v>
      </c>
      <c r="C183" s="16">
        <v>0.0466</v>
      </c>
      <c r="D183" s="16">
        <v>0.0432</v>
      </c>
      <c r="E183" s="16">
        <v>0.0445</v>
      </c>
      <c r="F183" s="16">
        <v>0.0454</v>
      </c>
      <c r="G183" s="16">
        <v>0.048</v>
      </c>
      <c r="H183" s="16">
        <v>0.0491</v>
      </c>
      <c r="I183" s="17" t="str">
        <f>IFERROR(INDEX($B$1:$H$1,MATCH(MIN(B183:H183),B183:H183,0)),"")</f>
        <v>1 year</v>
      </c>
    </row>
    <row r="184" spans="1:9">
      <c r="A184" s="15">
        <v>43921</v>
      </c>
      <c r="B184" s="16">
        <v>0.0481</v>
      </c>
      <c r="C184" s="16">
        <v>0.046</v>
      </c>
      <c r="D184" s="16">
        <v>0.04</v>
      </c>
      <c r="E184" s="16">
        <v>0.04219999999999999</v>
      </c>
      <c r="F184" s="16">
        <v>0.0436</v>
      </c>
      <c r="G184" s="16">
        <v>0.0464</v>
      </c>
      <c r="H184" s="16">
        <v>0.0475</v>
      </c>
      <c r="I184" s="17" t="str">
        <f>IFERROR(INDEX($B$1:$H$1,MATCH(MIN(B184:H184),B184:H184,0)),"")</f>
        <v>1 year</v>
      </c>
    </row>
    <row r="185" spans="1:9">
      <c r="A185" s="15">
        <v>43951</v>
      </c>
      <c r="B185" s="16">
        <v>0.0478</v>
      </c>
      <c r="C185" s="16">
        <v>0.0452</v>
      </c>
      <c r="D185" s="16">
        <v>0.0397</v>
      </c>
      <c r="E185" s="16">
        <v>0.04190000000000001</v>
      </c>
      <c r="F185" s="16">
        <v>0.0436</v>
      </c>
      <c r="G185" s="16">
        <v>0.0464</v>
      </c>
      <c r="H185" s="16">
        <v>0.0475</v>
      </c>
      <c r="I185" s="17" t="str">
        <f>IFERROR(INDEX($B$1:$H$1,MATCH(MIN(B185:H185),B185:H185,0)),"")</f>
        <v>1 year</v>
      </c>
    </row>
    <row r="186" spans="1:9">
      <c r="A186" s="15">
        <v>43982</v>
      </c>
      <c r="B186" s="16">
        <v>0.0475</v>
      </c>
      <c r="C186" s="16">
        <v>0.0435</v>
      </c>
      <c r="D186" s="16">
        <v>0.0381</v>
      </c>
      <c r="E186" s="16">
        <v>0.0392</v>
      </c>
      <c r="F186" s="16">
        <v>0.0409</v>
      </c>
      <c r="G186" s="16">
        <v>0.0438</v>
      </c>
      <c r="H186" s="16">
        <v>0.04480000000000001</v>
      </c>
      <c r="I186" s="17" t="str">
        <f>IFERROR(INDEX($B$1:$H$1,MATCH(MIN(B186:H186),B186:H186,0)),"")</f>
        <v>1 year</v>
      </c>
    </row>
    <row r="187" spans="1:9">
      <c r="A187" s="15">
        <v>44012</v>
      </c>
      <c r="B187" s="16">
        <v>0.0462</v>
      </c>
      <c r="C187" s="16">
        <v>0.0414</v>
      </c>
      <c r="D187" s="16">
        <v>0.0365</v>
      </c>
      <c r="E187" s="16">
        <v>0.0374</v>
      </c>
      <c r="F187" s="16">
        <v>0.0381</v>
      </c>
      <c r="G187" s="16">
        <v>0.04</v>
      </c>
      <c r="H187" s="16">
        <v>0.0412</v>
      </c>
      <c r="I187" s="17" t="str">
        <f>IFERROR(INDEX($B$1:$H$1,MATCH(MIN(B187:H187),B187:H187,0)),"")</f>
        <v>1 year</v>
      </c>
    </row>
    <row r="188" spans="1:9">
      <c r="A188" s="15">
        <v>44043</v>
      </c>
      <c r="B188" s="16">
        <v>0.046</v>
      </c>
      <c r="C188" s="16">
        <v>0.0404</v>
      </c>
      <c r="D188" s="16">
        <v>0.0355</v>
      </c>
      <c r="E188" s="16">
        <v>0.03700000000000001</v>
      </c>
      <c r="F188" s="16">
        <v>0.0364</v>
      </c>
      <c r="G188" s="16">
        <v>0.0389</v>
      </c>
      <c r="H188" s="16">
        <v>0.0398</v>
      </c>
      <c r="I188" s="17" t="str">
        <f>IFERROR(INDEX($B$1:$H$1,MATCH(MIN(B188:H188),B188:H188,0)),"")</f>
        <v>1 year</v>
      </c>
    </row>
    <row r="189" spans="1:9">
      <c r="A189" s="15">
        <v>44074</v>
      </c>
      <c r="B189" s="16">
        <v>0.046</v>
      </c>
      <c r="C189" s="16">
        <v>0.0401</v>
      </c>
      <c r="D189" s="16">
        <v>0.0353</v>
      </c>
      <c r="E189" s="16">
        <v>0.0368</v>
      </c>
      <c r="F189" s="16">
        <v>0.0358</v>
      </c>
      <c r="G189" s="16">
        <v>0.0386</v>
      </c>
      <c r="H189" s="16">
        <v>0.0397</v>
      </c>
      <c r="I189" s="17" t="str">
        <f>IFERROR(INDEX($B$1:$H$1,MATCH(MIN(B189:H189),B189:H189,0)),"")</f>
        <v>1 year</v>
      </c>
    </row>
    <row r="190" spans="1:9">
      <c r="A190" s="15">
        <v>44104</v>
      </c>
      <c r="B190" s="16">
        <v>0.046</v>
      </c>
      <c r="C190" s="16">
        <v>0.0397</v>
      </c>
      <c r="D190" s="16">
        <v>0.0346</v>
      </c>
      <c r="E190" s="16">
        <v>0.0363</v>
      </c>
      <c r="F190" s="16">
        <v>0.0349</v>
      </c>
      <c r="G190" s="16">
        <v>0.03759999999999999</v>
      </c>
      <c r="H190" s="16">
        <v>0.0385</v>
      </c>
      <c r="I190" s="17" t="str">
        <f>IFERROR(INDEX($B$1:$H$1,MATCH(MIN(B190:H190),B190:H190,0)),"")</f>
        <v>1 year</v>
      </c>
    </row>
    <row r="191" spans="1:9">
      <c r="A191" s="15">
        <v>44135</v>
      </c>
      <c r="B191" s="16">
        <v>0.0454</v>
      </c>
      <c r="C191" s="16">
        <v>0.0392</v>
      </c>
      <c r="D191" s="16">
        <v>0.0336</v>
      </c>
      <c r="E191" s="16">
        <v>0.0355</v>
      </c>
      <c r="F191" s="16">
        <v>0.0337</v>
      </c>
      <c r="G191" s="16">
        <v>0.0371</v>
      </c>
      <c r="H191" s="16">
        <v>0.0378</v>
      </c>
      <c r="I191" s="17" t="str">
        <f>IFERROR(INDEX($B$1:$H$1,MATCH(MIN(B191:H191),B191:H191,0)),"")</f>
        <v>1 year</v>
      </c>
    </row>
    <row r="192" spans="1:9">
      <c r="A192" s="15">
        <v>44165</v>
      </c>
      <c r="B192" s="16">
        <v>0.0451</v>
      </c>
      <c r="C192" s="16">
        <v>0.039</v>
      </c>
      <c r="D192" s="16">
        <v>0.0334</v>
      </c>
      <c r="E192" s="16">
        <v>0.0351</v>
      </c>
      <c r="F192" s="16">
        <v>0.0334</v>
      </c>
      <c r="G192" s="16">
        <v>0.03700000000000001</v>
      </c>
      <c r="H192" s="16">
        <v>0.0378</v>
      </c>
      <c r="I192" s="17" t="str">
        <f>IFERROR(INDEX($B$1:$H$1,MATCH(MIN(B192:H192),B192:H192,0)),"")</f>
        <v>1 year</v>
      </c>
    </row>
    <row r="193" spans="1:9">
      <c r="A193" s="15">
        <v>44196</v>
      </c>
      <c r="B193" s="16">
        <v>0.0451</v>
      </c>
      <c r="C193" s="16">
        <v>0.039</v>
      </c>
      <c r="D193" s="16">
        <v>0.0334</v>
      </c>
      <c r="E193" s="16">
        <v>0.0351</v>
      </c>
      <c r="F193" s="16">
        <v>0.0334</v>
      </c>
      <c r="G193" s="16">
        <v>0.03700000000000001</v>
      </c>
      <c r="H193" s="16">
        <v>0.0378</v>
      </c>
      <c r="I193" s="17" t="str">
        <f>IFERROR(INDEX($B$1:$H$1,MATCH(MIN(B193:H193),B193:H193,0)),"")</f>
        <v>1 year</v>
      </c>
    </row>
    <row r="194" spans="1:9">
      <c r="A194" s="15">
        <v>44227</v>
      </c>
      <c r="B194" s="16">
        <v>0.0451</v>
      </c>
      <c r="C194" s="16">
        <v>0.0388</v>
      </c>
      <c r="D194" s="16">
        <v>0.0326</v>
      </c>
      <c r="E194" s="16">
        <v>0.0349</v>
      </c>
      <c r="F194" s="16">
        <v>0.0334</v>
      </c>
      <c r="G194" s="16">
        <v>0.03700000000000001</v>
      </c>
      <c r="H194" s="16">
        <v>0.0378</v>
      </c>
      <c r="I194" s="17" t="str">
        <f>IFERROR(INDEX($B$1:$H$1,MATCH(MIN(B194:H194),B194:H194,0)),"")</f>
        <v>1 year</v>
      </c>
    </row>
    <row r="195" spans="1:9">
      <c r="A195" s="15">
        <v>44255</v>
      </c>
      <c r="B195" s="16">
        <v>0.0451</v>
      </c>
      <c r="C195" s="16">
        <v>0.0388</v>
      </c>
      <c r="D195" s="16">
        <v>0.03240000000000001</v>
      </c>
      <c r="E195" s="16">
        <v>0.0347</v>
      </c>
      <c r="F195" s="16">
        <v>0.0333</v>
      </c>
      <c r="G195" s="16">
        <v>0.0369</v>
      </c>
      <c r="H195" s="16">
        <v>0.0377</v>
      </c>
      <c r="I195" s="17" t="str">
        <f>IFERROR(INDEX($B$1:$H$1,MATCH(MIN(B195:H195),B195:H195,0)),"")</f>
        <v>1 year</v>
      </c>
    </row>
    <row r="196" spans="1:9">
      <c r="A196" s="15">
        <v>44286</v>
      </c>
      <c r="B196" s="16">
        <v>0.0451</v>
      </c>
      <c r="C196" s="16">
        <v>0.0388</v>
      </c>
      <c r="D196" s="16">
        <v>0.03240000000000001</v>
      </c>
      <c r="E196" s="16">
        <v>0.0347</v>
      </c>
      <c r="F196" s="16">
        <v>0.0333</v>
      </c>
      <c r="G196" s="16">
        <v>0.0371</v>
      </c>
      <c r="H196" s="16">
        <v>0.0378</v>
      </c>
      <c r="I196" s="17" t="str">
        <f>IFERROR(INDEX($B$1:$H$1,MATCH(MIN(B196:H196),B196:H196,0)),"")</f>
        <v>1 year</v>
      </c>
    </row>
    <row r="197" spans="1:9">
      <c r="A197" s="15">
        <v>44316</v>
      </c>
      <c r="B197" s="16">
        <v>0.0451</v>
      </c>
      <c r="C197" s="16">
        <v>0.0386</v>
      </c>
      <c r="D197" s="16">
        <v>0.0323</v>
      </c>
      <c r="E197" s="16">
        <v>0.0346</v>
      </c>
      <c r="F197" s="16">
        <v>0.0338</v>
      </c>
      <c r="G197" s="16">
        <v>0.0375</v>
      </c>
      <c r="H197" s="16">
        <v>0.0389</v>
      </c>
      <c r="I197" s="17" t="str">
        <f>IFERROR(INDEX($B$1:$H$1,MATCH(MIN(B197:H197),B197:H197,0)),"")</f>
        <v>1 year</v>
      </c>
    </row>
    <row r="198" spans="1:9">
      <c r="A198" s="15">
        <v>44347</v>
      </c>
      <c r="B198" s="16">
        <v>0.0447</v>
      </c>
      <c r="C198" s="16">
        <v>0.0385</v>
      </c>
      <c r="D198" s="16">
        <v>0.032</v>
      </c>
      <c r="E198" s="16">
        <v>0.0347</v>
      </c>
      <c r="F198" s="16">
        <v>0.034</v>
      </c>
      <c r="G198" s="16">
        <v>0.0379</v>
      </c>
      <c r="H198" s="16">
        <v>0.04019999999999999</v>
      </c>
      <c r="I198" s="17" t="str">
        <f>IFERROR(INDEX($B$1:$H$1,MATCH(MIN(B198:H198),B198:H198,0)),"")</f>
        <v>1 year</v>
      </c>
    </row>
    <row r="199" spans="1:9">
      <c r="A199" s="15">
        <v>44377</v>
      </c>
      <c r="B199" s="16">
        <v>0.0447</v>
      </c>
      <c r="C199" s="16">
        <v>0.0374</v>
      </c>
      <c r="D199" s="16">
        <v>0.0317</v>
      </c>
      <c r="E199" s="16">
        <v>0.0347</v>
      </c>
      <c r="F199" s="16">
        <v>0.0349</v>
      </c>
      <c r="G199" s="16">
        <v>0.0395</v>
      </c>
      <c r="H199" s="16">
        <v>0.04219999999999999</v>
      </c>
      <c r="I199" s="17" t="str">
        <f>IFERROR(INDEX($B$1:$H$1,MATCH(MIN(B199:H199),B199:H199,0)),"")</f>
        <v>1 year</v>
      </c>
    </row>
    <row r="200" spans="1:9">
      <c r="A200" s="15">
        <v>44408</v>
      </c>
      <c r="B200" s="16">
        <v>0.0452</v>
      </c>
      <c r="C200" s="16">
        <v>0.0382</v>
      </c>
      <c r="D200" s="16">
        <v>0.0339</v>
      </c>
      <c r="E200" s="16">
        <v>0.0367</v>
      </c>
      <c r="F200" s="16">
        <v>0.0373</v>
      </c>
      <c r="G200" s="16">
        <v>0.0413</v>
      </c>
      <c r="H200" s="16">
        <v>0.0442</v>
      </c>
      <c r="I200" s="17" t="str">
        <f>IFERROR(INDEX($B$1:$H$1,MATCH(MIN(B200:H200),B200:H200,0)),"")</f>
        <v>1 year</v>
      </c>
    </row>
    <row r="201" spans="1:9">
      <c r="A201" s="15">
        <v>44439</v>
      </c>
      <c r="B201" s="16">
        <v>0.0452</v>
      </c>
      <c r="C201" s="16">
        <v>0.0383</v>
      </c>
      <c r="D201" s="16">
        <v>0.0337</v>
      </c>
      <c r="E201" s="16">
        <v>0.0369</v>
      </c>
      <c r="F201" s="16">
        <v>0.0372</v>
      </c>
      <c r="G201" s="16">
        <v>0.0416</v>
      </c>
      <c r="H201" s="16">
        <v>0.0444</v>
      </c>
      <c r="I201" s="17" t="str">
        <f>IFERROR(INDEX($B$1:$H$1,MATCH(MIN(B201:H201),B201:H201,0)),"")</f>
        <v>1 year</v>
      </c>
    </row>
    <row r="202" spans="1:9">
      <c r="A202" s="15">
        <v>44469</v>
      </c>
      <c r="B202" s="16">
        <v>0.0452</v>
      </c>
      <c r="C202" s="16">
        <v>0.039</v>
      </c>
      <c r="D202" s="16">
        <v>0.0354</v>
      </c>
      <c r="E202" s="16">
        <v>0.0387</v>
      </c>
      <c r="F202" s="16">
        <v>0.039</v>
      </c>
      <c r="G202" s="16">
        <v>0.0443</v>
      </c>
      <c r="H202" s="16">
        <v>0.04650000000000001</v>
      </c>
      <c r="I202" s="17" t="str">
        <f>IFERROR(INDEX($B$1:$H$1,MATCH(MIN(B202:H202),B202:H202,0)),"")</f>
        <v>1 year</v>
      </c>
    </row>
    <row r="203" spans="1:9">
      <c r="A203" s="15">
        <v>44500</v>
      </c>
      <c r="B203" s="16">
        <v>0.04650000000000001</v>
      </c>
      <c r="C203" s="16">
        <v>0.0417</v>
      </c>
      <c r="D203" s="16">
        <v>0.0382</v>
      </c>
      <c r="E203" s="16">
        <v>0.04219999999999999</v>
      </c>
      <c r="F203" s="16">
        <v>0.04269999999999999</v>
      </c>
      <c r="G203" s="16">
        <v>0.04769999999999999</v>
      </c>
      <c r="H203" s="16">
        <v>0.0496</v>
      </c>
      <c r="I203" s="17" t="str">
        <f>IFERROR(INDEX($B$1:$H$1,MATCH(MIN(B203:H203),B203:H203,0)),"")</f>
        <v>1 year</v>
      </c>
    </row>
    <row r="204" spans="1:9">
      <c r="A204" s="15">
        <v>44530</v>
      </c>
      <c r="B204" s="16">
        <v>0.0483</v>
      </c>
      <c r="C204" s="16">
        <v>0.0445</v>
      </c>
      <c r="D204" s="16">
        <v>0.0412</v>
      </c>
      <c r="E204" s="16">
        <v>0.04650000000000001</v>
      </c>
      <c r="F204" s="16">
        <v>0.0481</v>
      </c>
      <c r="G204" s="16">
        <v>0.0518</v>
      </c>
      <c r="H204" s="16">
        <v>0.0536</v>
      </c>
      <c r="I204" s="17" t="str">
        <f>IFERROR(INDEX($B$1:$H$1,MATCH(MIN(B204:H204),B204:H204,0)),"")</f>
        <v>1 year</v>
      </c>
    </row>
    <row r="205" spans="1:9">
      <c r="A205" s="15">
        <v>44561</v>
      </c>
      <c r="B205" s="16">
        <v>0.0491</v>
      </c>
      <c r="C205" s="16">
        <v>0.04480000000000001</v>
      </c>
      <c r="D205" s="16">
        <v>0.042</v>
      </c>
      <c r="E205" s="16">
        <v>0.0473</v>
      </c>
      <c r="F205" s="16">
        <v>0.04969999999999999</v>
      </c>
      <c r="G205" s="16">
        <v>0.0525</v>
      </c>
      <c r="H205" s="16">
        <v>0.0542</v>
      </c>
      <c r="I205" s="17" t="str">
        <f>IFERROR(INDEX($B$1:$H$1,MATCH(MIN(B205:H205),B205:H205,0)),"")</f>
        <v>1 year</v>
      </c>
    </row>
    <row r="206" spans="1:9">
      <c r="A206" s="15">
        <v>44592</v>
      </c>
      <c r="B206" s="16">
        <v>0.0491</v>
      </c>
      <c r="C206" s="16">
        <v>0.0446</v>
      </c>
      <c r="D206" s="16">
        <v>0.0418</v>
      </c>
      <c r="E206" s="16">
        <v>0.0471</v>
      </c>
      <c r="F206" s="16">
        <v>0.0496</v>
      </c>
      <c r="G206" s="16">
        <v>0.0525</v>
      </c>
      <c r="H206" s="16">
        <v>0.0542</v>
      </c>
      <c r="I206" s="17" t="str">
        <f>IFERROR(INDEX($B$1:$H$1,MATCH(MIN(B206:H206),B206:H206,0)),"")</f>
        <v>1 year</v>
      </c>
    </row>
    <row r="207" spans="1:9">
      <c r="A207" s="15">
        <v>44620</v>
      </c>
      <c r="B207" s="16">
        <v>0.04940000000000001</v>
      </c>
      <c r="C207" s="16">
        <v>0.045</v>
      </c>
      <c r="D207" s="16">
        <v>0.0426</v>
      </c>
      <c r="E207" s="16">
        <v>0.0475</v>
      </c>
      <c r="F207" s="16">
        <v>0.05</v>
      </c>
      <c r="G207" s="16">
        <v>0.0529</v>
      </c>
      <c r="H207" s="16">
        <v>0.0547</v>
      </c>
      <c r="I207" s="17" t="str">
        <f>IFERROR(INDEX($B$1:$H$1,MATCH(MIN(B207:H207),B207:H207,0)),"")</f>
        <v>1 year</v>
      </c>
    </row>
    <row r="208" spans="1:9">
      <c r="A208" s="15">
        <v>44651</v>
      </c>
      <c r="B208" s="16">
        <v>0.0508</v>
      </c>
      <c r="C208" s="16">
        <v>0.047</v>
      </c>
      <c r="D208" s="16">
        <v>0.0449</v>
      </c>
      <c r="E208" s="16">
        <v>0.0504</v>
      </c>
      <c r="F208" s="16">
        <v>0.0522</v>
      </c>
      <c r="G208" s="16">
        <v>0.0554</v>
      </c>
      <c r="H208" s="16">
        <v>0.05690000000000001</v>
      </c>
      <c r="I208" s="17" t="str">
        <f>IFERROR(INDEX($B$1:$H$1,MATCH(MIN(B208:H208),B208:H208,0)),"")</f>
        <v>1 year</v>
      </c>
    </row>
    <row r="209" spans="1:9">
      <c r="A209" s="15">
        <v>44681</v>
      </c>
      <c r="B209" s="16">
        <v>0.0539</v>
      </c>
      <c r="C209" s="16">
        <v>0.04940000000000001</v>
      </c>
      <c r="D209" s="16">
        <v>0.0487</v>
      </c>
      <c r="E209" s="16">
        <v>0.0555</v>
      </c>
      <c r="F209" s="16">
        <v>0.0573</v>
      </c>
      <c r="G209" s="16">
        <v>0.0614</v>
      </c>
      <c r="H209" s="16">
        <v>0.0635</v>
      </c>
      <c r="I209" s="17" t="str">
        <f>IFERROR(INDEX($B$1:$H$1,MATCH(MIN(B209:H209),B209:H209,0)),"")</f>
        <v>1 year</v>
      </c>
    </row>
    <row r="210" spans="1:9">
      <c r="A210" s="15">
        <v>44712</v>
      </c>
      <c r="B210" s="16">
        <v>0.0551</v>
      </c>
      <c r="C210" s="16">
        <v>0.0504</v>
      </c>
      <c r="D210" s="16">
        <v>0.0496</v>
      </c>
      <c r="E210" s="16">
        <v>0.0562</v>
      </c>
      <c r="F210" s="16">
        <v>0.0581</v>
      </c>
      <c r="G210" s="16">
        <v>0.0623</v>
      </c>
      <c r="H210" s="16">
        <v>0.06419999999999999</v>
      </c>
      <c r="I210" s="17" t="str">
        <f>IFERROR(INDEX($B$1:$H$1,MATCH(MIN(B210:H210),B210:H210,0)),"")</f>
        <v>1 year</v>
      </c>
    </row>
    <row r="211" spans="1:9">
      <c r="A211" s="15">
        <v>44742</v>
      </c>
      <c r="B211" s="16">
        <v>0.05889999999999999</v>
      </c>
      <c r="C211" s="16">
        <v>0.0552</v>
      </c>
      <c r="D211" s="16">
        <v>0.0556</v>
      </c>
      <c r="E211" s="16">
        <v>0.0599</v>
      </c>
      <c r="F211" s="16">
        <v>0.0624</v>
      </c>
      <c r="G211" s="16">
        <v>0.06660000000000001</v>
      </c>
      <c r="H211" s="16">
        <v>0.0677</v>
      </c>
      <c r="I211" s="17" t="str">
        <f>IFERROR(INDEX($B$1:$H$1,MATCH(MIN(B211:H211),B211:H211,0)),"")</f>
        <v>6 months</v>
      </c>
    </row>
    <row r="212" spans="1:9">
      <c r="A212" s="15">
        <v>44773</v>
      </c>
      <c r="B212" s="16">
        <v>0.0622</v>
      </c>
      <c r="C212" s="16">
        <v>0.0565</v>
      </c>
      <c r="D212" s="16">
        <v>0.0565</v>
      </c>
      <c r="E212" s="16">
        <v>0.0594</v>
      </c>
      <c r="F212" s="16">
        <v>0.0625</v>
      </c>
      <c r="G212" s="16">
        <v>0.0665</v>
      </c>
      <c r="H212" s="16">
        <v>0.06759999999999999</v>
      </c>
      <c r="I212" s="17" t="str">
        <f>IFERROR(INDEX($B$1:$H$1,MATCH(MIN(B212:H212),B212:H212,0)),"")</f>
        <v>6 months</v>
      </c>
    </row>
    <row r="213" spans="1:9">
      <c r="A213" s="15">
        <v>44804</v>
      </c>
      <c r="B213" s="16">
        <v>0.0654</v>
      </c>
      <c r="C213" s="16">
        <v>0.0556</v>
      </c>
      <c r="D213" s="16">
        <v>0.0548</v>
      </c>
      <c r="E213" s="16">
        <v>0.0591</v>
      </c>
      <c r="F213" s="16">
        <v>0.0605</v>
      </c>
      <c r="G213" s="16">
        <v>0.0638</v>
      </c>
      <c r="H213" s="16">
        <v>0.0644</v>
      </c>
      <c r="I213" s="17" t="str">
        <f>IFERROR(INDEX($B$1:$H$1,MATCH(MIN(B213:H213),B213:H213,0)),"")</f>
        <v>1 year</v>
      </c>
    </row>
    <row r="214" spans="1:9">
      <c r="A214" s="15">
        <v>44834</v>
      </c>
      <c r="B214" s="16">
        <v>0.0665</v>
      </c>
      <c r="C214" s="16">
        <v>0.0571</v>
      </c>
      <c r="D214" s="16">
        <v>0.0572</v>
      </c>
      <c r="E214" s="16">
        <v>0.06059999999999999</v>
      </c>
      <c r="F214" s="16">
        <v>0.06179999999999999</v>
      </c>
      <c r="G214" s="16">
        <v>0.064</v>
      </c>
      <c r="H214" s="16">
        <v>0.0644</v>
      </c>
      <c r="I214" s="17" t="str">
        <f>IFERROR(INDEX($B$1:$H$1,MATCH(MIN(B214:H214),B214:H214,0)),"")</f>
        <v>6 months</v>
      </c>
    </row>
    <row r="215" spans="1:9">
      <c r="A215" s="15">
        <v>44865</v>
      </c>
      <c r="B215" s="16">
        <v>0.0699</v>
      </c>
      <c r="C215" s="16">
        <v>0.0616</v>
      </c>
      <c r="D215" s="16">
        <v>0.06179999999999999</v>
      </c>
      <c r="E215" s="16">
        <v>0.06469999999999999</v>
      </c>
      <c r="F215" s="16">
        <v>0.0658</v>
      </c>
      <c r="G215" s="16">
        <v>0.06860000000000001</v>
      </c>
      <c r="H215" s="16">
        <v>0.06900000000000001</v>
      </c>
      <c r="I215" s="17" t="str">
        <f>IFERROR(INDEX($B$1:$H$1,MATCH(MIN(B215:H215),B215:H215,0)),"")</f>
        <v>6 months</v>
      </c>
    </row>
    <row r="216" spans="1:9">
      <c r="A216" s="15">
        <v>44895</v>
      </c>
      <c r="B216" s="16">
        <v>0.0733</v>
      </c>
      <c r="C216" s="16">
        <v>0.0643</v>
      </c>
      <c r="D216" s="16">
        <v>0.0646</v>
      </c>
      <c r="E216" s="16">
        <v>0.0675</v>
      </c>
      <c r="F216" s="16">
        <v>0.0669</v>
      </c>
      <c r="G216" s="16">
        <v>0.06900000000000001</v>
      </c>
      <c r="H216" s="16">
        <v>0.0694</v>
      </c>
      <c r="I216" s="17" t="str">
        <f>IFERROR(INDEX($B$1:$H$1,MATCH(MIN(B216:H216),B216:H216,0)),"")</f>
        <v>6 months</v>
      </c>
    </row>
    <row r="217" spans="1:9">
      <c r="A217" s="15">
        <v>44926</v>
      </c>
      <c r="B217" s="16">
        <v>0.0781</v>
      </c>
      <c r="C217" s="16">
        <v>0.06849999999999999</v>
      </c>
      <c r="D217" s="16">
        <v>0.0682</v>
      </c>
      <c r="E217" s="16">
        <v>0.0708</v>
      </c>
      <c r="F217" s="16">
        <v>0.0707</v>
      </c>
      <c r="G217" s="16">
        <v>0.0728</v>
      </c>
      <c r="H217" s="16">
        <v>0.0732</v>
      </c>
      <c r="I217" s="17" t="str">
        <f>IFERROR(INDEX($B$1:$H$1,MATCH(MIN(B217:H217),B217:H217,0)),"")</f>
        <v>1 year</v>
      </c>
    </row>
    <row r="218" spans="1:9">
      <c r="A218" s="15">
        <v>44957</v>
      </c>
      <c r="B218" s="16">
        <v>0.078</v>
      </c>
      <c r="C218" s="16">
        <v>0.0688</v>
      </c>
      <c r="D218" s="16">
        <v>0.06860000000000001</v>
      </c>
      <c r="E218" s="16">
        <v>0.0708</v>
      </c>
      <c r="F218" s="16">
        <v>0.07049999999999999</v>
      </c>
      <c r="G218" s="16">
        <v>0.0723</v>
      </c>
      <c r="H218" s="16">
        <v>0.0725</v>
      </c>
      <c r="I218" s="17" t="str">
        <f>IFERROR(INDEX($B$1:$H$1,MATCH(MIN(B218:H218),B218:H218,0)),"")</f>
        <v>1 year</v>
      </c>
    </row>
    <row r="219" spans="1:9">
      <c r="A219" s="15">
        <v>44985</v>
      </c>
      <c r="B219" s="16">
        <v>0.0784</v>
      </c>
      <c r="C219" s="16">
        <v>0.0693</v>
      </c>
      <c r="D219" s="16">
        <v>0.06909999999999999</v>
      </c>
      <c r="E219" s="16">
        <v>0.07000000000000001</v>
      </c>
      <c r="F219" s="16">
        <v>0.06950000000000001</v>
      </c>
      <c r="G219" s="16">
        <v>0.0708</v>
      </c>
      <c r="H219" s="16">
        <v>0.07049999999999999</v>
      </c>
      <c r="I219" s="17" t="str">
        <f>IFERROR(INDEX($B$1:$H$1,MATCH(MIN(B219:H219),B219:H219,0)),"")</f>
        <v>1 year</v>
      </c>
    </row>
    <row r="220" spans="1:9">
      <c r="A220" s="15">
        <v>45016</v>
      </c>
      <c r="B220" s="16">
        <v>0.07980000000000001</v>
      </c>
      <c r="C220" s="16">
        <v>0.0699</v>
      </c>
      <c r="D220" s="16">
        <v>0.0697</v>
      </c>
      <c r="E220" s="16">
        <v>0.0703</v>
      </c>
      <c r="F220" s="16">
        <v>0.0694</v>
      </c>
      <c r="G220" s="16">
        <v>0.0704</v>
      </c>
      <c r="H220" s="16">
        <v>0.0701</v>
      </c>
      <c r="I220" s="17" t="str">
        <f>IFERROR(INDEX($B$1:$H$1,MATCH(MIN(B220:H220),B220:H220,0)),"")</f>
        <v>3 years</v>
      </c>
    </row>
    <row r="221" spans="1:9">
      <c r="A221" s="15">
        <v>45046</v>
      </c>
      <c r="B221" s="16">
        <v>0.0827</v>
      </c>
      <c r="C221" s="16">
        <v>0.0716</v>
      </c>
      <c r="D221" s="16">
        <v>0.0711</v>
      </c>
      <c r="E221" s="16">
        <v>0.0707</v>
      </c>
      <c r="F221" s="16">
        <v>0.0678</v>
      </c>
      <c r="G221" s="16">
        <v>0.0689</v>
      </c>
      <c r="H221" s="16">
        <v>0.0687</v>
      </c>
      <c r="I221" s="17" t="str">
        <f>IFERROR(INDEX($B$1:$H$1,MATCH(MIN(B221:H221),B221:H221,0)),"")</f>
        <v>3 years</v>
      </c>
    </row>
    <row r="222" spans="1:9">
      <c r="A222" s="15">
        <v>45077</v>
      </c>
      <c r="B222" s="16">
        <v>0.0837</v>
      </c>
      <c r="C222" s="16">
        <v>0.0723</v>
      </c>
      <c r="D222" s="16">
        <v>0.0718</v>
      </c>
      <c r="E222" s="16">
        <v>0.07099999999999999</v>
      </c>
      <c r="F222" s="16">
        <v>0.0665</v>
      </c>
      <c r="G222" s="16">
        <v>0.0679</v>
      </c>
      <c r="H222" s="16">
        <v>0.0678</v>
      </c>
      <c r="I222" s="17" t="str">
        <f>IFERROR(INDEX($B$1:$H$1,MATCH(MIN(B222:H222),B222:H222,0)),"")</f>
        <v>3 years</v>
      </c>
    </row>
    <row r="223" spans="1:9">
      <c r="A223" s="15">
        <v>45107</v>
      </c>
      <c r="B223" s="16">
        <v>0.08449999999999999</v>
      </c>
      <c r="C223" s="16">
        <v>0.07400000000000001</v>
      </c>
      <c r="D223" s="16">
        <v>0.0735</v>
      </c>
      <c r="E223" s="16">
        <v>0.07150000000000001</v>
      </c>
      <c r="F223" s="16">
        <v>0.067</v>
      </c>
      <c r="G223" s="16">
        <v>0.068</v>
      </c>
      <c r="H223" s="16">
        <v>0.0678</v>
      </c>
      <c r="I223" s="17" t="str">
        <f>IFERROR(INDEX($B$1:$H$1,MATCH(MIN(B223:H223),B223:H223,0)),"")</f>
        <v>3 years</v>
      </c>
    </row>
    <row r="224" spans="1:9">
      <c r="A224" s="15">
        <v>45138</v>
      </c>
      <c r="B224" s="16">
        <v>0.0851</v>
      </c>
      <c r="C224" s="16">
        <v>0.0755</v>
      </c>
      <c r="D224" s="16">
        <v>0.07490000000000001</v>
      </c>
      <c r="E224" s="16">
        <v>0.0732</v>
      </c>
      <c r="F224" s="16">
        <v>0.06860000000000001</v>
      </c>
      <c r="G224" s="16">
        <v>0.06849999999999999</v>
      </c>
      <c r="H224" s="16">
        <v>0.0679</v>
      </c>
      <c r="I224" s="17" t="str">
        <f>IFERROR(INDEX($B$1:$H$1,MATCH(MIN(B224:H224),B224:H224,0)),"")</f>
        <v>5 years</v>
      </c>
    </row>
    <row r="225" spans="1:9">
      <c r="A225" s="15">
        <v>45169</v>
      </c>
      <c r="B225" s="16">
        <v>0.0858</v>
      </c>
      <c r="C225" s="16">
        <v>0.0765</v>
      </c>
      <c r="D225" s="16">
        <v>0.0759</v>
      </c>
      <c r="E225" s="16">
        <v>0.0742</v>
      </c>
      <c r="F225" s="16">
        <v>0.0692</v>
      </c>
      <c r="G225" s="16">
        <v>0.0698</v>
      </c>
      <c r="H225" s="16">
        <v>0.06950000000000001</v>
      </c>
      <c r="I225" s="17" t="str">
        <f>IFERROR(INDEX($B$1:$H$1,MATCH(MIN(B225:H225),B225:H225,0)),"")</f>
        <v>3 years</v>
      </c>
    </row>
    <row r="226" spans="1:9">
      <c r="A226" s="15">
        <v>45199</v>
      </c>
      <c r="B226" s="16">
        <v>0.0859</v>
      </c>
      <c r="C226" s="16">
        <v>0.07719999999999999</v>
      </c>
      <c r="D226" s="16">
        <v>0.0764</v>
      </c>
      <c r="E226" s="16">
        <v>0.075</v>
      </c>
      <c r="F226" s="16">
        <v>0.0711</v>
      </c>
      <c r="G226" s="16">
        <v>0.0707</v>
      </c>
      <c r="H226" s="16">
        <v>0.0702</v>
      </c>
      <c r="I226" s="17" t="str">
        <f>IFERROR(INDEX($B$1:$H$1,MATCH(MIN(B226:H226),B226:H226,0)),"")</f>
        <v>5 years</v>
      </c>
    </row>
    <row r="227" spans="1:9">
      <c r="A227" s="15">
        <v>45230</v>
      </c>
      <c r="B227" s="16">
        <v>0.0861</v>
      </c>
      <c r="C227" s="16">
        <v>0.07780000000000001</v>
      </c>
      <c r="D227" s="16">
        <v>0.07730000000000001</v>
      </c>
      <c r="E227" s="16">
        <v>0.076</v>
      </c>
      <c r="F227" s="16">
        <v>0.0725</v>
      </c>
      <c r="G227" s="16">
        <v>0.0722</v>
      </c>
      <c r="H227" s="16">
        <v>0.07190000000000001</v>
      </c>
      <c r="I227" s="17" t="str">
        <f>IFERROR(INDEX($B$1:$H$1,MATCH(MIN(B227:H227),B227:H227,0)),"")</f>
        <v>5 years</v>
      </c>
    </row>
    <row r="228" spans="1:9">
      <c r="A228" s="15">
        <v>45260</v>
      </c>
      <c r="B228" s="16">
        <v>0.0861</v>
      </c>
      <c r="C228" s="16">
        <v>0.0781</v>
      </c>
      <c r="D228" s="16">
        <v>0.0775</v>
      </c>
      <c r="E228" s="16">
        <v>0.0759</v>
      </c>
      <c r="F228" s="16">
        <v>0.0725</v>
      </c>
      <c r="G228" s="16">
        <v>0.0723</v>
      </c>
      <c r="H228" s="16">
        <v>0.07200000000000001</v>
      </c>
      <c r="I228" s="17" t="str">
        <f>IFERROR(INDEX($B$1:$H$1,MATCH(MIN(B228:H228),B228:H228,0)),"")</f>
        <v>5 years</v>
      </c>
    </row>
    <row r="229" spans="1:9">
      <c r="A229" s="15">
        <v>45291</v>
      </c>
      <c r="B229" s="16">
        <v>0.0861</v>
      </c>
      <c r="C229" s="16">
        <v>0.07829999999999999</v>
      </c>
      <c r="D229" s="16">
        <v>0.0776</v>
      </c>
      <c r="E229" s="16">
        <v>0.07539999999999999</v>
      </c>
      <c r="F229" s="16">
        <v>0.0722</v>
      </c>
      <c r="G229" s="16">
        <v>0.0723</v>
      </c>
      <c r="H229" s="16">
        <v>0.07200000000000001</v>
      </c>
      <c r="I229" s="17" t="str">
        <f>IFERROR(INDEX($B$1:$H$1,MATCH(MIN(B229:H229),B229:H229,0)),"")</f>
        <v>5 years</v>
      </c>
    </row>
    <row r="230" spans="1:9">
      <c r="A230" s="15">
        <v>45322</v>
      </c>
      <c r="B230" s="16">
        <v>0.0861</v>
      </c>
      <c r="C230" s="16">
        <v>0.07829999999999999</v>
      </c>
      <c r="D230" s="16">
        <v>0.0776</v>
      </c>
      <c r="E230" s="16">
        <v>0.07480000000000001</v>
      </c>
      <c r="F230" s="16">
        <v>0.0718</v>
      </c>
      <c r="G230" s="16">
        <v>0.0718</v>
      </c>
      <c r="H230" s="16">
        <v>0.0713</v>
      </c>
      <c r="I230" s="17" t="str">
        <f>IFERROR(INDEX($B$1:$H$1,MATCH(MIN(B230:H230),B230:H230,0)),"")</f>
        <v>5 years</v>
      </c>
    </row>
    <row r="231" spans="1:9">
      <c r="A231" s="15">
        <v>45351</v>
      </c>
      <c r="B231" s="16">
        <v>0.0861</v>
      </c>
      <c r="C231" s="16">
        <v>0.07829999999999999</v>
      </c>
      <c r="D231" s="16">
        <v>0.07730000000000001</v>
      </c>
      <c r="E231" s="16">
        <v>0.0745</v>
      </c>
      <c r="F231" s="16">
        <v>0.0712</v>
      </c>
      <c r="G231" s="16">
        <v>0.07150000000000001</v>
      </c>
      <c r="H231" s="16">
        <v>0.07099999999999999</v>
      </c>
      <c r="I231" s="17" t="str">
        <f>IFERROR(INDEX($B$1:$H$1,MATCH(MIN(B231:H231),B231:H231,0)),"")</f>
        <v>5 years</v>
      </c>
    </row>
    <row r="232" spans="1:9">
      <c r="A232" s="15">
        <v>45382</v>
      </c>
      <c r="B232" s="16">
        <v>0.0861</v>
      </c>
      <c r="C232" s="16">
        <v>0.0781</v>
      </c>
      <c r="D232" s="16">
        <v>0.0767</v>
      </c>
      <c r="E232" s="16">
        <v>0.07400000000000001</v>
      </c>
      <c r="F232" s="16">
        <v>0.07049999999999999</v>
      </c>
      <c r="G232" s="16">
        <v>0.0707</v>
      </c>
      <c r="H232" s="16">
        <v>0.07049999999999999</v>
      </c>
      <c r="I232" s="17" t="str">
        <f>IFERROR(INDEX($B$1:$H$1,MATCH(MIN(B232:H232),B232:H232,0)),"")</f>
        <v>3 years</v>
      </c>
    </row>
    <row r="233" spans="1:9">
      <c r="A233" s="15">
        <v>45412</v>
      </c>
      <c r="B233" s="16">
        <v>0.0861</v>
      </c>
      <c r="C233" s="16">
        <v>0.0781</v>
      </c>
      <c r="D233" s="16">
        <v>0.0767</v>
      </c>
      <c r="E233" s="16">
        <v>0.0738</v>
      </c>
      <c r="F233" s="16">
        <v>0.0701</v>
      </c>
      <c r="G233" s="16">
        <v>0.0703</v>
      </c>
      <c r="H233" s="16">
        <v>0.0699</v>
      </c>
      <c r="I233" s="17" t="str">
        <f>IFERROR(INDEX($B$1:$H$1,MATCH(MIN(B233:H233),B233:H233,0)),"")</f>
        <v>5 years</v>
      </c>
    </row>
    <row r="234" spans="1:9">
      <c r="A234" s="15">
        <v>45443</v>
      </c>
      <c r="B234" s="16">
        <v>0.0861</v>
      </c>
      <c r="C234" s="16">
        <v>0.0776</v>
      </c>
      <c r="D234" s="16">
        <v>0.076</v>
      </c>
      <c r="E234" s="16">
        <v>0.0736</v>
      </c>
      <c r="F234" s="16">
        <v>0.0696</v>
      </c>
      <c r="G234" s="16">
        <v>0.0699</v>
      </c>
      <c r="H234" s="16">
        <v>0.0698</v>
      </c>
      <c r="I234" s="17" t="str">
        <f>IFERROR(INDEX($B$1:$H$1,MATCH(MIN(B234:H234),B234:H234,0)),"")</f>
        <v>3 years</v>
      </c>
    </row>
    <row r="235" spans="1:9">
      <c r="A235" s="15">
        <v>45473</v>
      </c>
      <c r="B235" s="16">
        <v>0.0861</v>
      </c>
      <c r="C235" s="16">
        <v>0.0776</v>
      </c>
      <c r="D235" s="16">
        <v>0.076</v>
      </c>
      <c r="E235" s="16">
        <v>0.0735</v>
      </c>
      <c r="F235" s="16">
        <v>0.0699</v>
      </c>
      <c r="G235" s="16">
        <v>0.0699</v>
      </c>
      <c r="H235" s="16">
        <v>0.0698</v>
      </c>
      <c r="I235" s="17" t="str">
        <f>IFERROR(INDEX($B$1:$H$1,MATCH(MIN(B235:H235),B235:H235,0)),"")</f>
        <v>5 years</v>
      </c>
    </row>
    <row r="236" spans="1:9">
      <c r="A236" s="15">
        <v>45504</v>
      </c>
      <c r="B236" s="16">
        <v>0.0861</v>
      </c>
      <c r="C236" s="16">
        <v>0.0759</v>
      </c>
      <c r="D236" s="16">
        <v>0.0741</v>
      </c>
      <c r="E236" s="16">
        <v>0.07150000000000001</v>
      </c>
      <c r="F236" s="16">
        <v>0.06809999999999999</v>
      </c>
      <c r="G236" s="16">
        <v>0.0684</v>
      </c>
      <c r="H236" s="16">
        <v>0.0679</v>
      </c>
      <c r="I236" s="17" t="str">
        <f>IFERROR(INDEX($B$1:$H$1,MATCH(MIN(B236:H236),B236:H236,0)),"")</f>
        <v>5 years</v>
      </c>
    </row>
    <row r="237" spans="1:9">
      <c r="A237" s="15">
        <v>45535</v>
      </c>
      <c r="B237" s="16">
        <v>0.08449999999999999</v>
      </c>
      <c r="C237" s="16">
        <v>0.07400000000000001</v>
      </c>
      <c r="D237" s="16">
        <v>0.07049999999999999</v>
      </c>
      <c r="E237" s="16">
        <v>0.06660000000000001</v>
      </c>
      <c r="F237" s="16">
        <v>0.0634</v>
      </c>
      <c r="G237" s="16">
        <v>0.06309999999999999</v>
      </c>
      <c r="H237" s="16">
        <v>0.063</v>
      </c>
      <c r="I237" s="17" t="str">
        <f>IFERROR(INDEX($B$1:$H$1,MATCH(MIN(B237:H237),B237:H237,0)),"")</f>
        <v>5 years</v>
      </c>
    </row>
    <row r="238" spans="1:9">
      <c r="A238" s="15">
        <v>45565</v>
      </c>
      <c r="B238" s="16">
        <v>0.08449999999999999</v>
      </c>
      <c r="C238" s="16">
        <v>0.073</v>
      </c>
      <c r="D238" s="16">
        <v>0.06900000000000001</v>
      </c>
      <c r="E238" s="16">
        <v>0.06480000000000001</v>
      </c>
      <c r="F238" s="16">
        <v>0.06269999999999999</v>
      </c>
      <c r="G238" s="16">
        <v>0.06150000000000001</v>
      </c>
      <c r="H238" s="16">
        <v>0.06150000000000001</v>
      </c>
      <c r="I238" s="17" t="str">
        <f>IFERROR(INDEX($B$1:$H$1,MATCH(MIN(B238:H238),B238:H238,0)),"")</f>
        <v>4 years</v>
      </c>
    </row>
    <row r="239" spans="1:9">
      <c r="A239" s="15">
        <v>45596</v>
      </c>
      <c r="B239" s="16">
        <v>0.08109999999999999</v>
      </c>
      <c r="C239" s="16">
        <v>0.0698</v>
      </c>
      <c r="D239" s="16">
        <v>0.0653</v>
      </c>
      <c r="E239" s="16">
        <v>0.0629</v>
      </c>
      <c r="F239" s="16">
        <v>0.0611</v>
      </c>
      <c r="G239" s="16">
        <v>0.061</v>
      </c>
      <c r="H239" s="16">
        <v>0.061</v>
      </c>
      <c r="I239" s="17" t="str">
        <f>IFERROR(INDEX($B$1:$H$1,MATCH(MIN(B239:H239),B239:H239,0)),"")</f>
        <v>4 years</v>
      </c>
    </row>
    <row r="240" spans="1:9">
      <c r="A240" s="15">
        <v>45626</v>
      </c>
      <c r="B240" s="16">
        <v>0.0796</v>
      </c>
      <c r="C240" s="16">
        <v>0.0689</v>
      </c>
      <c r="D240" s="16">
        <v>0.06469999999999999</v>
      </c>
      <c r="E240" s="16">
        <v>0.06269999999999999</v>
      </c>
      <c r="F240" s="16">
        <v>0.061</v>
      </c>
      <c r="G240" s="16">
        <v>0.061</v>
      </c>
      <c r="H240" s="16">
        <v>0.061</v>
      </c>
      <c r="I240" s="17" t="str">
        <f>IFERROR(INDEX($B$1:$H$1,MATCH(MIN(B240:H240),B240:H240,0)),"")</f>
        <v>3 years</v>
      </c>
    </row>
    <row r="241" spans="1:9">
      <c r="A241" s="15">
        <v>45657</v>
      </c>
      <c r="B241" s="16">
        <v>0.0766</v>
      </c>
      <c r="C241" s="16">
        <v>0.0667</v>
      </c>
      <c r="D241" s="16">
        <v>0.063</v>
      </c>
      <c r="E241" s="16">
        <v>0.0612</v>
      </c>
      <c r="F241" s="16">
        <v>0.0605</v>
      </c>
      <c r="G241" s="16">
        <v>0.0614</v>
      </c>
      <c r="H241" s="16">
        <v>0.06150000000000001</v>
      </c>
      <c r="I241" s="17" t="str">
        <f>IFERROR(INDEX($B$1:$H$1,MATCH(MIN(B241:H241),B241:H241,0)),"")</f>
        <v>3 years</v>
      </c>
    </row>
    <row r="242" spans="1:9">
      <c r="A242" s="15">
        <v>45688</v>
      </c>
      <c r="B242" s="16">
        <v>0.07629999999999999</v>
      </c>
      <c r="C242" s="16">
        <v>0.0653</v>
      </c>
      <c r="D242" s="16">
        <v>0.06150000000000001</v>
      </c>
      <c r="E242" s="16">
        <v>0.0603</v>
      </c>
      <c r="F242" s="16">
        <v>0.0604</v>
      </c>
      <c r="G242" s="16">
        <v>0.06150000000000001</v>
      </c>
      <c r="H242" s="16">
        <v>0.0619</v>
      </c>
      <c r="I242" s="17" t="str">
        <f>IFERROR(INDEX($B$1:$H$1,MATCH(MIN(B242:H242),B242:H242,0)),"")</f>
        <v>2 years</v>
      </c>
    </row>
    <row r="243" spans="1:9">
      <c r="A243" s="15">
        <v>45716</v>
      </c>
      <c r="B243" s="16">
        <v>0.0733</v>
      </c>
      <c r="C243" s="16">
        <v>0.0639</v>
      </c>
      <c r="D243" s="16">
        <v>0.0587</v>
      </c>
      <c r="E243" s="16">
        <v>0.0572</v>
      </c>
      <c r="F243" s="16">
        <v>0.0583</v>
      </c>
      <c r="G243" s="16">
        <v>0.0609</v>
      </c>
      <c r="H243" s="16">
        <v>0.0612</v>
      </c>
      <c r="I243" s="17" t="str">
        <f>IFERROR(INDEX($B$1:$H$1,MATCH(MIN(B243:H243),B243:H243,0)),"")</f>
        <v>2 years</v>
      </c>
    </row>
    <row r="244" spans="1:9">
      <c r="A244" s="15">
        <v>45747</v>
      </c>
      <c r="B244" s="16">
        <v>0.07240000000000001</v>
      </c>
      <c r="C244" s="16">
        <v>0.06370000000000001</v>
      </c>
      <c r="D244" s="16">
        <v>0.0588</v>
      </c>
      <c r="E244" s="16">
        <v>0.0573</v>
      </c>
      <c r="F244" s="16">
        <v>0.0585</v>
      </c>
      <c r="G244" s="16">
        <v>0.0607</v>
      </c>
      <c r="H244" s="16">
        <v>0.0611</v>
      </c>
      <c r="I244" s="17" t="str">
        <f>IFERROR(INDEX($B$1:$H$1,MATCH(MIN(B244:H244),B244:H244,0)),"")</f>
        <v>2 years</v>
      </c>
    </row>
    <row r="245" spans="1:9">
      <c r="A245" s="15">
        <v>45777</v>
      </c>
      <c r="B245" s="16">
        <v>0.07000000000000001</v>
      </c>
      <c r="C245" s="16">
        <v>0.0609</v>
      </c>
      <c r="D245" s="16">
        <v>0.0568</v>
      </c>
      <c r="E245" s="16">
        <v>0.0566</v>
      </c>
      <c r="F245" s="16">
        <v>0.0582</v>
      </c>
      <c r="G245" s="16">
        <v>0.0605</v>
      </c>
      <c r="H245" s="16">
        <v>0.061</v>
      </c>
      <c r="I245" s="17" t="str">
        <f>IFERROR(INDEX($B$1:$H$1,MATCH(MIN(B245:H245),B245:H245,0)),"")</f>
        <v>2 years</v>
      </c>
    </row>
    <row r="246" spans="1:9">
      <c r="A246" s="15">
        <v>45808</v>
      </c>
      <c r="B246" s="16">
        <v>0.0692</v>
      </c>
      <c r="C246" s="16">
        <v>0.0603</v>
      </c>
      <c r="D246" s="16">
        <v>0.0564</v>
      </c>
      <c r="E246" s="16">
        <v>0.0563</v>
      </c>
      <c r="F246" s="16">
        <v>0.0575</v>
      </c>
      <c r="G246" s="16">
        <v>0.0601</v>
      </c>
      <c r="H246" s="16">
        <v>0.0607</v>
      </c>
      <c r="I246" s="17" t="str">
        <f>IFERROR(INDEX($B$1:$H$1,MATCH(MIN(B246:H246),B246:H246,0)),"")</f>
        <v>2 years</v>
      </c>
    </row>
    <row r="247" spans="1:9">
      <c r="A247" s="15">
        <v>45838</v>
      </c>
      <c r="B247" s="16">
        <v>0.0679</v>
      </c>
      <c r="C247" s="16">
        <v>0.0585</v>
      </c>
      <c r="D247" s="16">
        <v>0.0556</v>
      </c>
      <c r="E247" s="16">
        <v>0.0559</v>
      </c>
      <c r="F247" s="16">
        <v>0.0559</v>
      </c>
      <c r="G247" s="16">
        <v>0.0593</v>
      </c>
      <c r="H247" s="16">
        <v>0.06</v>
      </c>
      <c r="I247" s="17" t="str">
        <f>IFERROR(INDEX($B$1:$H$1,MATCH(MIN(B247:H247),B247:H247,0)),"")</f>
        <v>1 year</v>
      </c>
    </row>
    <row r="248" spans="1:9">
      <c r="A248" s="15">
        <v>45869</v>
      </c>
      <c r="B248" s="16">
        <v>0.0679</v>
      </c>
      <c r="C248" s="16">
        <v>0.0584</v>
      </c>
      <c r="D248" s="16">
        <v>0.0553</v>
      </c>
      <c r="E248" s="16">
        <v>0.0559</v>
      </c>
      <c r="F248" s="16">
        <v>0.0557</v>
      </c>
      <c r="G248" s="16">
        <v>0.0593</v>
      </c>
      <c r="H248" s="16">
        <v>0.06</v>
      </c>
      <c r="I248" s="17" t="str">
        <f>IFERROR(INDEX($B$1:$H$1,MATCH(MIN(B248:H248),B248:H248,0)),"")</f>
        <v>1 year</v>
      </c>
    </row>
    <row r="249" spans="1:9">
      <c r="A249" s="15">
        <v>45900</v>
      </c>
      <c r="B249" s="16">
        <v>0.0663</v>
      </c>
      <c r="C249" s="16">
        <v>0.0568</v>
      </c>
      <c r="D249" s="16">
        <v>0.05400000000000001</v>
      </c>
      <c r="E249" s="16">
        <v>0.0546</v>
      </c>
      <c r="F249" s="16">
        <v>0.0547</v>
      </c>
      <c r="G249" s="16">
        <v>0.05769999999999999</v>
      </c>
      <c r="H249" s="16">
        <v>0.05889999999999999</v>
      </c>
      <c r="I249" s="17" t="str">
        <f>IFERROR(INDEX($B$1:$H$1,MATCH(MIN(B249:H249),B249:H249,0)),"")</f>
        <v>1 year</v>
      </c>
    </row>
    <row r="250" spans="1:9">
      <c r="A250" s="15">
        <v>45930</v>
      </c>
      <c r="B250" s="16">
        <v>0.06619999999999999</v>
      </c>
      <c r="C250" s="16">
        <v>0.0566</v>
      </c>
      <c r="D250" s="16">
        <v>0.0537</v>
      </c>
      <c r="E250" s="16">
        <v>0.0542</v>
      </c>
      <c r="F250" s="16">
        <v>0.0547</v>
      </c>
      <c r="G250" s="16">
        <v>0.05769999999999999</v>
      </c>
      <c r="H250" s="16">
        <v>0.05889999999999999</v>
      </c>
      <c r="I250" s="17" t="str">
        <f>IFERROR(INDEX($B$1:$H$1,MATCH(MIN(B250:H250),B250:H250,0)),"")</f>
        <v>1 year</v>
      </c>
    </row>
    <row r="251" spans="1:9">
      <c r="A251" s="15">
        <v>45961</v>
      </c>
      <c r="B251" s="16">
        <v>0.06269999999999999</v>
      </c>
      <c r="C251" s="16">
        <v>0.0544</v>
      </c>
      <c r="D251" s="16">
        <v>0.051</v>
      </c>
      <c r="E251" s="16">
        <v>0.052</v>
      </c>
      <c r="F251" s="16">
        <v>0.0529</v>
      </c>
      <c r="G251" s="16">
        <v>0.055</v>
      </c>
      <c r="H251" s="16">
        <v>0.0556</v>
      </c>
      <c r="I251" s="17" t="str">
        <f>IFERROR(INDEX($B$1:$H$1,MATCH(MIN(B251:H251),B251:H251,0)),"")</f>
        <v>1 year</v>
      </c>
    </row>
    <row r="252" spans="1:9">
      <c r="A252" s="15">
        <v>45991</v>
      </c>
      <c r="B252" s="16">
        <v>0.062</v>
      </c>
      <c r="C252" s="16">
        <v>0.0542</v>
      </c>
      <c r="D252" s="16">
        <v>0.051</v>
      </c>
      <c r="E252" s="16">
        <v>0.0518</v>
      </c>
      <c r="F252" s="16">
        <v>0.0528</v>
      </c>
      <c r="G252" s="16">
        <v>0.055</v>
      </c>
      <c r="H252" s="16">
        <v>0.0556</v>
      </c>
      <c r="I252" s="17" t="str">
        <f>IFERROR(INDEX($B$1:$H$1,MATCH(MIN(B252:H252),B252:H252,0)),"")</f>
        <v>1 year</v>
      </c>
    </row>
    <row r="253" spans="1:9">
      <c r="A253" s="15">
        <v>46022</v>
      </c>
      <c r="B253" s="16">
        <v>0.0614</v>
      </c>
      <c r="C253" s="16">
        <v>0.0535</v>
      </c>
      <c r="D253" s="16">
        <v>0.0512</v>
      </c>
      <c r="E253" s="16">
        <v>0.0532</v>
      </c>
      <c r="F253" s="16">
        <v>0.0552</v>
      </c>
      <c r="G253" s="16">
        <v>0.0571</v>
      </c>
      <c r="H253" s="16">
        <v>0.05769999999999999</v>
      </c>
      <c r="I253" s="17" t="str">
        <f>IFERROR(INDEX($B$1:$H$1,MATCH(MIN(B253:H253),B253:H253,0)),"")</f>
        <v>1 year</v>
      </c>
    </row>
    <row r="254" spans="1:9">
      <c r="A254" s="15">
        <v>46053</v>
      </c>
      <c r="B254" s="16">
        <v>0.06150000000000001</v>
      </c>
      <c r="C254" s="16">
        <v>0.0532</v>
      </c>
      <c r="D254" s="16">
        <v>0.0513</v>
      </c>
      <c r="E254" s="16">
        <v>0.0532</v>
      </c>
      <c r="F254" s="16">
        <v>0.0554</v>
      </c>
      <c r="G254" s="16">
        <v>0.05769999999999999</v>
      </c>
      <c r="H254" s="16">
        <v>0.0584</v>
      </c>
      <c r="I254" s="17" t="str">
        <f>IFERROR(INDEX($B$1:$H$1,MATCH(MIN(B254:H254),B254:H254,0)),"")</f>
        <v>1 year</v>
      </c>
    </row>
    <row r="255" spans="1:9">
      <c r="A255" s="15">
        <v>46081</v>
      </c>
      <c r="B255" s="16">
        <v>0.0616</v>
      </c>
      <c r="C255" s="16">
        <v>0.05230000000000001</v>
      </c>
      <c r="D255" s="16">
        <v>0.0513</v>
      </c>
      <c r="E255" s="16">
        <v>0.0541</v>
      </c>
      <c r="F255" s="16">
        <v>0.0557</v>
      </c>
      <c r="G255" s="16">
        <v>0.05860000000000001</v>
      </c>
      <c r="H255" s="16">
        <v>0.0596</v>
      </c>
      <c r="I255" s="17" t="str">
        <f>IFERROR(INDEX($B$1:$H$1,MATCH(MIN(B255:H255),B255:H255,0)),"")</f>
        <v>1 year</v>
      </c>
    </row>
    <row r="256" spans="1:9">
      <c r="A256" s="15">
        <v>46112</v>
      </c>
      <c r="B256" s="16">
        <v>0.0616</v>
      </c>
      <c r="C256" s="16">
        <v>0.052</v>
      </c>
      <c r="D256" s="16">
        <v>0.0519</v>
      </c>
      <c r="E256" s="16">
        <v>0.0558</v>
      </c>
      <c r="F256" s="16">
        <v>0.05769999999999999</v>
      </c>
      <c r="G256" s="16">
        <v>0.0603</v>
      </c>
      <c r="H256" s="16">
        <v>0.06179999999999999</v>
      </c>
      <c r="I256" s="17" t="str">
        <f>IFERROR(INDEX($B$1:$H$1,MATCH(MIN(B256:H256),B256:H256,0)),"")</f>
        <v>1 year</v>
      </c>
    </row>
    <row r="257" spans="1:9">
      <c r="A257" s="15">
        <v>46142</v>
      </c>
      <c r="B257" s="16">
        <v>0.0611</v>
      </c>
      <c r="C257" s="16">
        <v>0.05139999999999999</v>
      </c>
      <c r="D257" s="16">
        <v>0.0522</v>
      </c>
      <c r="E257" s="16">
        <v>0.0565</v>
      </c>
      <c r="F257" s="16">
        <v>0.0581</v>
      </c>
      <c r="G257" s="16">
        <v>0.0603</v>
      </c>
      <c r="H257" s="16">
        <v>0.0619</v>
      </c>
      <c r="I257" s="17" t="str">
        <f>IFERROR(INDEX($B$1:$H$1,MATCH(MIN(B257:H257),B257:H257,0)),"")</f>
        <v>6 months</v>
      </c>
    </row>
    <row r="258" spans="1:9">
      <c r="A258" s="15">
        <v>46173</v>
      </c>
      <c r="B258" s="16">
        <v>0.06150000000000001</v>
      </c>
      <c r="C258" s="16">
        <v>0.0515</v>
      </c>
      <c r="D258" s="16">
        <v>0.0526</v>
      </c>
      <c r="E258" s="16">
        <v>0.05690000000000001</v>
      </c>
      <c r="F258" s="16">
        <v>0.05860000000000001</v>
      </c>
      <c r="G258" s="16">
        <v>0.0608</v>
      </c>
      <c r="H258" s="16">
        <v>0.0624</v>
      </c>
      <c r="I258" s="17" t="str">
        <f>IFERROR(INDEX($B$1:$H$1,MATCH(MIN(B258:H258),B258:H258,0)),"")</f>
        <v>6 months</v>
      </c>
    </row>
    <row r="259" spans="1:9">
      <c r="A259" s="15">
        <v>46203</v>
      </c>
      <c r="B259" s="16">
        <v>0.06150000000000001</v>
      </c>
      <c r="C259" s="16">
        <v>0.052</v>
      </c>
      <c r="D259" s="16">
        <v>0.0528</v>
      </c>
      <c r="E259" s="16">
        <v>0.05690000000000001</v>
      </c>
      <c r="F259" s="16">
        <v>0.0583</v>
      </c>
      <c r="G259" s="16">
        <v>0.0603</v>
      </c>
      <c r="H259" s="16">
        <v>0.0617</v>
      </c>
      <c r="I259" s="17" t="str">
        <f>IFERROR(INDEX($B$1:$H$1,MATCH(MIN(B259:H259),B259:H259,0)),"")</f>
        <v>6 months</v>
      </c>
    </row>
    <row r="260" spans="1:9">
      <c r="A260" s="15">
        <v>46234</v>
      </c>
      <c r="B260" s="16">
        <v>0.06320000000000001</v>
      </c>
      <c r="C260" s="16">
        <v>0.0525</v>
      </c>
      <c r="D260" s="16">
        <v>0.0534</v>
      </c>
      <c r="E260" s="16">
        <v>0.0573</v>
      </c>
      <c r="F260" s="16">
        <v>0.0583</v>
      </c>
      <c r="G260" s="16">
        <v>0.0601</v>
      </c>
      <c r="H260" s="16">
        <v>0.0613</v>
      </c>
      <c r="I260" s="17" t="str">
        <f>IFERROR(INDEX($B$1:$H$1,MATCH(MIN(B260:H260),B260:H260,0)),"")</f>
        <v>6 months</v>
      </c>
    </row>
    <row r="261" spans="1:9">
      <c r="A261" s="15">
        <v>46265</v>
      </c>
      <c r="B261" s="16">
        <v>0.0626</v>
      </c>
      <c r="C261" s="16">
        <v>0.0529</v>
      </c>
      <c r="D261" s="16">
        <v>0.0548</v>
      </c>
      <c r="E261" s="16">
        <v>0.05889999999999999</v>
      </c>
      <c r="F261" s="16">
        <v>0.059</v>
      </c>
      <c r="G261" s="16">
        <v>0.0603</v>
      </c>
      <c r="H261" s="16">
        <v>0.0613</v>
      </c>
      <c r="I261" s="17" t="str">
        <f>IFERROR(INDEX($B$1:$H$1,MATCH(MIN(B261:H261),B261:H261,0)),"")</f>
        <v>6 months</v>
      </c>
    </row>
    <row r="262" spans="1:9">
      <c r="A262" s="15">
        <v>46295</v>
      </c>
      <c r="B262" s="16">
        <v>0.0643</v>
      </c>
      <c r="C262" s="16">
        <v>0.0533</v>
      </c>
      <c r="D262" s="16">
        <v>0.0555</v>
      </c>
      <c r="E262" s="16">
        <v>0.05860000000000001</v>
      </c>
      <c r="F262" s="16">
        <v>0.0593</v>
      </c>
      <c r="G262" s="16">
        <v>0.0609</v>
      </c>
      <c r="H262" s="16">
        <v>0.062</v>
      </c>
      <c r="I262" s="17" t="str">
        <f>IFERROR(INDEX($B$1:$H$1,MATCH(MIN(B262:H262),B262:H262,0)),"")</f>
        <v>6 months</v>
      </c>
    </row>
  </sheetData>
  <autoFilter ref="A1:I262"/>
  <conditionalFormatting sqref="B2:H262">
    <cfRule type="expression" dxfId="0" priority="1">
      <formula>AND(B2&lt;&gt;"",B2=MIN($B2:$H2))</formula>
    </cfRule>
  </conditionalFormatting>
  <pageMargins left="0.7" right="0.7" top="0.75" bottom="0.75" header="0.3" footer="0.3"/>
  <pageSetup paperSize="9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7" width="10.7109375" customWidth="1"/>
    <col min="8" max="8" width="14.7109375" customWidth="1"/>
  </cols>
  <sheetData>
    <row r="1" spans="1:8">
      <c r="A1" s="5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</row>
    <row r="2" spans="1:8">
      <c r="A2" s="15">
        <v>42766</v>
      </c>
      <c r="B2" s="16">
        <v>0.0482</v>
      </c>
      <c r="C2" s="16">
        <v>0.04480000000000001</v>
      </c>
      <c r="D2" s="16">
        <v>0.0474</v>
      </c>
      <c r="E2" s="16">
        <v>0.0507</v>
      </c>
      <c r="F2" s="16">
        <v>0.0545</v>
      </c>
      <c r="G2" s="16">
        <v>0.0558</v>
      </c>
      <c r="H2" s="17" t="str">
        <f>IFERROR(INDEX($B$1:$G$1,MATCH(MIN(B2:G2),B2:G2,0)),"")</f>
        <v>1 year</v>
      </c>
    </row>
    <row r="3" spans="1:8">
      <c r="A3" s="15">
        <v>42794</v>
      </c>
      <c r="B3" s="16">
        <v>0.049</v>
      </c>
      <c r="C3" s="16">
        <v>0.045</v>
      </c>
      <c r="D3" s="16">
        <v>0.0476</v>
      </c>
      <c r="E3" s="16">
        <v>0.0513</v>
      </c>
      <c r="F3" s="16">
        <v>0.0551</v>
      </c>
      <c r="G3" s="16">
        <v>0.0562</v>
      </c>
      <c r="H3" s="17" t="str">
        <f>IFERROR(INDEX($B$1:$G$1,MATCH(MIN(B3:G3),B3:G3,0)),"")</f>
        <v>1 year</v>
      </c>
    </row>
    <row r="4" spans="1:8">
      <c r="A4" s="15">
        <v>42825</v>
      </c>
      <c r="B4" s="16">
        <v>0.0493</v>
      </c>
      <c r="C4" s="16">
        <v>0.0457</v>
      </c>
      <c r="D4" s="16">
        <v>0.0478</v>
      </c>
      <c r="E4" s="16">
        <v>0.0515</v>
      </c>
      <c r="F4" s="16">
        <v>0.05599999999999999</v>
      </c>
      <c r="G4" s="16">
        <v>0.057</v>
      </c>
      <c r="H4" s="17" t="str">
        <f>IFERROR(INDEX($B$1:$G$1,MATCH(MIN(B4:G4),B4:G4,0)),"")</f>
        <v>1 year</v>
      </c>
    </row>
    <row r="5" spans="1:8">
      <c r="A5" s="15">
        <v>42855</v>
      </c>
      <c r="B5" s="16">
        <v>0.0493</v>
      </c>
      <c r="C5" s="16">
        <v>0.04559999999999999</v>
      </c>
      <c r="D5" s="16">
        <v>0.0478</v>
      </c>
      <c r="E5" s="16">
        <v>0.0515</v>
      </c>
      <c r="F5" s="16">
        <v>0.05599999999999999</v>
      </c>
      <c r="G5" s="16">
        <v>0.0571</v>
      </c>
      <c r="H5" s="17" t="str">
        <f>IFERROR(INDEX($B$1:$G$1,MATCH(MIN(B5:G5),B5:G5,0)),"")</f>
        <v>1 year</v>
      </c>
    </row>
    <row r="6" spans="1:8">
      <c r="A6" s="15">
        <v>42886</v>
      </c>
      <c r="B6" s="16">
        <v>0.0493</v>
      </c>
      <c r="C6" s="16">
        <v>0.04559999999999999</v>
      </c>
      <c r="D6" s="16">
        <v>0.0479</v>
      </c>
      <c r="E6" s="16">
        <v>0.0515</v>
      </c>
      <c r="F6" s="16">
        <v>0.05599999999999999</v>
      </c>
      <c r="G6" s="16">
        <v>0.0573</v>
      </c>
      <c r="H6" s="17" t="str">
        <f>IFERROR(INDEX($B$1:$G$1,MATCH(MIN(B6:G6),B6:G6,0)),"")</f>
        <v>1 year</v>
      </c>
    </row>
    <row r="7" spans="1:8">
      <c r="A7" s="15">
        <v>42916</v>
      </c>
      <c r="B7" s="16">
        <v>0.0493</v>
      </c>
      <c r="C7" s="16">
        <v>0.04559999999999999</v>
      </c>
      <c r="D7" s="16">
        <v>0.0476</v>
      </c>
      <c r="E7" s="16">
        <v>0.0515</v>
      </c>
      <c r="F7" s="16">
        <v>0.05599999999999999</v>
      </c>
      <c r="G7" s="16">
        <v>0.0573</v>
      </c>
      <c r="H7" s="17" t="str">
        <f>IFERROR(INDEX($B$1:$G$1,MATCH(MIN(B7:G7),B7:G7,0)),"")</f>
        <v>1 year</v>
      </c>
    </row>
    <row r="8" spans="1:8">
      <c r="A8" s="15">
        <v>42947</v>
      </c>
      <c r="B8" s="16">
        <v>0.0493</v>
      </c>
      <c r="C8" s="16">
        <v>0.0454</v>
      </c>
      <c r="D8" s="16">
        <v>0.0478</v>
      </c>
      <c r="E8" s="16">
        <v>0.0515</v>
      </c>
      <c r="F8" s="16">
        <v>0.0563</v>
      </c>
      <c r="G8" s="16">
        <v>0.0576</v>
      </c>
      <c r="H8" s="17" t="str">
        <f>IFERROR(INDEX($B$1:$G$1,MATCH(MIN(B8:G8),B8:G8,0)),"")</f>
        <v>1 year</v>
      </c>
    </row>
    <row r="9" spans="1:8">
      <c r="A9" s="15">
        <v>42978</v>
      </c>
      <c r="B9" s="16">
        <v>0.0493</v>
      </c>
      <c r="C9" s="16">
        <v>0.0454</v>
      </c>
      <c r="D9" s="16">
        <v>0.0475</v>
      </c>
      <c r="E9" s="16">
        <v>0.0508</v>
      </c>
      <c r="F9" s="16">
        <v>0.0554</v>
      </c>
      <c r="G9" s="16">
        <v>0.0573</v>
      </c>
      <c r="H9" s="17" t="str">
        <f>IFERROR(INDEX($B$1:$G$1,MATCH(MIN(B9:G9),B9:G9,0)),"")</f>
        <v>1 year</v>
      </c>
    </row>
    <row r="10" spans="1:8">
      <c r="A10" s="15">
        <v>43008</v>
      </c>
      <c r="B10" s="16">
        <v>0.0493</v>
      </c>
      <c r="C10" s="16">
        <v>0.0452</v>
      </c>
      <c r="D10" s="16">
        <v>0.0464</v>
      </c>
      <c r="E10" s="16">
        <v>0.0507</v>
      </c>
      <c r="F10" s="16">
        <v>0.0551</v>
      </c>
      <c r="G10" s="16">
        <v>0.0571</v>
      </c>
      <c r="H10" s="17" t="str">
        <f>IFERROR(INDEX($B$1:$G$1,MATCH(MIN(B10:G10),B10:G10,0)),"")</f>
        <v>1 year</v>
      </c>
    </row>
    <row r="11" spans="1:8">
      <c r="A11" s="15">
        <v>43039</v>
      </c>
      <c r="B11" s="16">
        <v>0.0493</v>
      </c>
      <c r="C11" s="16">
        <v>0.0454</v>
      </c>
      <c r="D11" s="16">
        <v>0.04679999999999999</v>
      </c>
      <c r="E11" s="16">
        <v>0.0498</v>
      </c>
      <c r="F11" s="16">
        <v>0.0551</v>
      </c>
      <c r="G11" s="16">
        <v>0.0571</v>
      </c>
      <c r="H11" s="17" t="str">
        <f>IFERROR(INDEX($B$1:$G$1,MATCH(MIN(B11:G11),B11:G11,0)),"")</f>
        <v>1 year</v>
      </c>
    </row>
    <row r="12" spans="1:8">
      <c r="A12" s="15">
        <v>43069</v>
      </c>
      <c r="B12" s="16">
        <v>0.0493</v>
      </c>
      <c r="C12" s="16">
        <v>0.0452</v>
      </c>
      <c r="D12" s="16">
        <v>0.0467</v>
      </c>
      <c r="E12" s="16">
        <v>0.0495</v>
      </c>
      <c r="F12" s="16">
        <v>0.0551</v>
      </c>
      <c r="G12" s="16">
        <v>0.0567</v>
      </c>
      <c r="H12" s="17" t="str">
        <f>IFERROR(INDEX($B$1:$G$1,MATCH(MIN(B12:G12),B12:G12,0)),"")</f>
        <v>1 year</v>
      </c>
    </row>
    <row r="13" spans="1:8">
      <c r="A13" s="15">
        <v>43100</v>
      </c>
      <c r="B13" s="16">
        <v>0.0493</v>
      </c>
      <c r="C13" s="16">
        <v>0.0452</v>
      </c>
      <c r="D13" s="16">
        <v>0.04650000000000001</v>
      </c>
      <c r="E13" s="16">
        <v>0.04940000000000001</v>
      </c>
      <c r="F13" s="16">
        <v>0.0548</v>
      </c>
      <c r="G13" s="16">
        <v>0.0564</v>
      </c>
      <c r="H13" s="17" t="str">
        <f>IFERROR(INDEX($B$1:$G$1,MATCH(MIN(B13:G13),B13:G13,0)),"")</f>
        <v>1 year</v>
      </c>
    </row>
    <row r="14" spans="1:8">
      <c r="A14" s="15">
        <v>43131</v>
      </c>
      <c r="B14" s="16">
        <v>0.0493</v>
      </c>
      <c r="C14" s="16">
        <v>0.0449</v>
      </c>
      <c r="D14" s="16">
        <v>0.04650000000000001</v>
      </c>
      <c r="E14" s="16">
        <v>0.04940000000000001</v>
      </c>
      <c r="F14" s="16">
        <v>0.0548</v>
      </c>
      <c r="G14" s="16">
        <v>0.0564</v>
      </c>
      <c r="H14" s="17" t="str">
        <f>IFERROR(INDEX($B$1:$G$1,MATCH(MIN(B14:G14),B14:G14,0)),"")</f>
        <v>1 year</v>
      </c>
    </row>
    <row r="15" spans="1:8">
      <c r="A15" s="15">
        <v>43159</v>
      </c>
      <c r="B15" s="16">
        <v>0.0493</v>
      </c>
      <c r="C15" s="16">
        <v>0.0437</v>
      </c>
      <c r="D15" s="16">
        <v>0.0453</v>
      </c>
      <c r="E15" s="16">
        <v>0.0495</v>
      </c>
      <c r="F15" s="16">
        <v>0.0548</v>
      </c>
      <c r="G15" s="16">
        <v>0.0561</v>
      </c>
      <c r="H15" s="17" t="str">
        <f>IFERROR(INDEX($B$1:$G$1,MATCH(MIN(B15:G15),B15:G15,0)),"")</f>
        <v>1 year</v>
      </c>
    </row>
    <row r="16" spans="1:8">
      <c r="A16" s="15">
        <v>43190</v>
      </c>
      <c r="B16" s="16">
        <v>0.0493</v>
      </c>
      <c r="C16" s="16">
        <v>0.0437</v>
      </c>
      <c r="D16" s="16">
        <v>0.0453</v>
      </c>
      <c r="E16" s="16">
        <v>0.0495</v>
      </c>
      <c r="F16" s="16">
        <v>0.0548</v>
      </c>
      <c r="G16" s="16">
        <v>0.0561</v>
      </c>
      <c r="H16" s="17" t="str">
        <f>IFERROR(INDEX($B$1:$G$1,MATCH(MIN(B16:G16),B16:G16,0)),"")</f>
        <v>1 year</v>
      </c>
    </row>
    <row r="17" spans="1:8">
      <c r="A17" s="15">
        <v>43220</v>
      </c>
      <c r="B17" s="16">
        <v>0.0493</v>
      </c>
      <c r="C17" s="16">
        <v>0.0434</v>
      </c>
      <c r="D17" s="16">
        <v>0.0457</v>
      </c>
      <c r="E17" s="16">
        <v>0.0493</v>
      </c>
      <c r="F17" s="16">
        <v>0.0548</v>
      </c>
      <c r="G17" s="16">
        <v>0.0561</v>
      </c>
      <c r="H17" s="17" t="str">
        <f>IFERROR(INDEX($B$1:$G$1,MATCH(MIN(B17:G17),B17:G17,0)),"")</f>
        <v>1 year</v>
      </c>
    </row>
    <row r="18" spans="1:8">
      <c r="A18" s="15">
        <v>43251</v>
      </c>
      <c r="B18" s="16">
        <v>0.0493</v>
      </c>
      <c r="C18" s="16">
        <v>0.0434</v>
      </c>
      <c r="D18" s="16">
        <v>0.0454</v>
      </c>
      <c r="E18" s="16">
        <v>0.0492</v>
      </c>
      <c r="F18" s="16">
        <v>0.0548</v>
      </c>
      <c r="G18" s="16">
        <v>0.0561</v>
      </c>
      <c r="H18" s="17" t="str">
        <f>IFERROR(INDEX($B$1:$G$1,MATCH(MIN(B18:G18),B18:G18,0)),"")</f>
        <v>1 year</v>
      </c>
    </row>
    <row r="19" spans="1:8">
      <c r="A19" s="15">
        <v>43281</v>
      </c>
      <c r="B19" s="16">
        <v>0.0493</v>
      </c>
      <c r="C19" s="16">
        <v>0.043</v>
      </c>
      <c r="D19" s="16">
        <v>0.0449</v>
      </c>
      <c r="E19" s="16">
        <v>0.0487</v>
      </c>
      <c r="F19" s="16">
        <v>0.0548</v>
      </c>
      <c r="G19" s="16">
        <v>0.0561</v>
      </c>
      <c r="H19" s="17" t="str">
        <f>IFERROR(INDEX($B$1:$G$1,MATCH(MIN(B19:G19),B19:G19,0)),"")</f>
        <v>1 year</v>
      </c>
    </row>
    <row r="20" spans="1:8">
      <c r="A20" s="15">
        <v>43312</v>
      </c>
      <c r="B20" s="16">
        <v>0.0493</v>
      </c>
      <c r="C20" s="16">
        <v>0.0425</v>
      </c>
      <c r="D20" s="16">
        <v>0.04480000000000001</v>
      </c>
      <c r="E20" s="16">
        <v>0.0484</v>
      </c>
      <c r="F20" s="16">
        <v>0.0544</v>
      </c>
      <c r="G20" s="16">
        <v>0.0561</v>
      </c>
      <c r="H20" s="17" t="str">
        <f>IFERROR(INDEX($B$1:$G$1,MATCH(MIN(B20:G20),B20:G20,0)),"")</f>
        <v>1 year</v>
      </c>
    </row>
    <row r="21" spans="1:8">
      <c r="A21" s="15">
        <v>43343</v>
      </c>
      <c r="B21" s="16">
        <v>0.0493</v>
      </c>
      <c r="C21" s="16">
        <v>0.0423</v>
      </c>
      <c r="D21" s="16">
        <v>0.0445</v>
      </c>
      <c r="E21" s="16">
        <v>0.0484</v>
      </c>
      <c r="F21" s="16">
        <v>0.0513</v>
      </c>
      <c r="G21" s="16">
        <v>0.0546</v>
      </c>
      <c r="H21" s="17" t="str">
        <f>IFERROR(INDEX($B$1:$G$1,MATCH(MIN(B21:G21),B21:G21,0)),"")</f>
        <v>1 year</v>
      </c>
    </row>
    <row r="22" spans="1:8">
      <c r="A22" s="15">
        <v>43373</v>
      </c>
      <c r="B22" s="16">
        <v>0.0493</v>
      </c>
      <c r="C22" s="16">
        <v>0.0416</v>
      </c>
      <c r="D22" s="16">
        <v>0.0428</v>
      </c>
      <c r="E22" s="16">
        <v>0.0453</v>
      </c>
      <c r="F22" s="16">
        <v>0.0493</v>
      </c>
      <c r="G22" s="16">
        <v>0.0499</v>
      </c>
      <c r="H22" s="17" t="str">
        <f>IFERROR(INDEX($B$1:$G$1,MATCH(MIN(B22:G22),B22:G22,0)),"")</f>
        <v>1 year</v>
      </c>
    </row>
    <row r="23" spans="1:8">
      <c r="A23" s="15">
        <v>43404</v>
      </c>
      <c r="B23" s="16">
        <v>0.0493</v>
      </c>
      <c r="C23" s="16">
        <v>0.0414</v>
      </c>
      <c r="D23" s="16">
        <v>0.0424</v>
      </c>
      <c r="E23" s="16">
        <v>0.04480000000000001</v>
      </c>
      <c r="F23" s="16">
        <v>0.0493</v>
      </c>
      <c r="G23" s="16">
        <v>0.0499</v>
      </c>
      <c r="H23" s="17" t="str">
        <f>IFERROR(INDEX($B$1:$G$1,MATCH(MIN(B23:G23),B23:G23,0)),"")</f>
        <v>1 year</v>
      </c>
    </row>
    <row r="24" spans="1:8">
      <c r="A24" s="15">
        <v>43434</v>
      </c>
      <c r="B24" s="16">
        <v>0.0493</v>
      </c>
      <c r="C24" s="16">
        <v>0.04</v>
      </c>
      <c r="D24" s="16">
        <v>0.0418</v>
      </c>
      <c r="E24" s="16">
        <v>0.0449</v>
      </c>
      <c r="F24" s="16">
        <v>0.0493</v>
      </c>
      <c r="G24" s="16">
        <v>0.0499</v>
      </c>
      <c r="H24" s="17" t="str">
        <f>IFERROR(INDEX($B$1:$G$1,MATCH(MIN(B24:G24),B24:G24,0)),"")</f>
        <v>1 year</v>
      </c>
    </row>
    <row r="25" spans="1:8">
      <c r="A25" s="15">
        <v>43465</v>
      </c>
      <c r="B25" s="16">
        <v>0.0495</v>
      </c>
      <c r="C25" s="16">
        <v>0.0409</v>
      </c>
      <c r="D25" s="16">
        <v>0.0428</v>
      </c>
      <c r="E25" s="16">
        <v>0.045</v>
      </c>
      <c r="F25" s="16">
        <v>0.04969999999999999</v>
      </c>
      <c r="G25" s="16">
        <v>0.0507</v>
      </c>
      <c r="H25" s="17" t="str">
        <f>IFERROR(INDEX($B$1:$G$1,MATCH(MIN(B25:G25),B25:G25,0)),"")</f>
        <v>1 year</v>
      </c>
    </row>
    <row r="26" spans="1:8">
      <c r="A26" s="15">
        <v>43496</v>
      </c>
      <c r="B26" s="16">
        <v>0.0495</v>
      </c>
      <c r="C26" s="16">
        <v>0.0406</v>
      </c>
      <c r="D26" s="16">
        <v>0.0424</v>
      </c>
      <c r="E26" s="16">
        <v>0.045</v>
      </c>
      <c r="F26" s="16">
        <v>0.04969999999999999</v>
      </c>
      <c r="G26" s="16">
        <v>0.0507</v>
      </c>
      <c r="H26" s="17" t="str">
        <f>IFERROR(INDEX($B$1:$G$1,MATCH(MIN(B26:G26),B26:G26,0)),"")</f>
        <v>1 year</v>
      </c>
    </row>
    <row r="27" spans="1:8">
      <c r="A27" s="15">
        <v>43524</v>
      </c>
      <c r="B27" s="16">
        <v>0.0495</v>
      </c>
      <c r="C27" s="16">
        <v>0.0403</v>
      </c>
      <c r="D27" s="16">
        <v>0.0423</v>
      </c>
      <c r="E27" s="16">
        <v>0.0444</v>
      </c>
      <c r="F27" s="16">
        <v>0.04969999999999999</v>
      </c>
      <c r="G27" s="16">
        <v>0.0507</v>
      </c>
      <c r="H27" s="17" t="str">
        <f>IFERROR(INDEX($B$1:$G$1,MATCH(MIN(B27:G27),B27:G27,0)),"")</f>
        <v>1 year</v>
      </c>
    </row>
    <row r="28" spans="1:8">
      <c r="A28" s="15">
        <v>43555</v>
      </c>
      <c r="B28" s="16">
        <v>0.0495</v>
      </c>
      <c r="C28" s="16">
        <v>0.0405</v>
      </c>
      <c r="D28" s="16">
        <v>0.0399</v>
      </c>
      <c r="E28" s="16">
        <v>0.045</v>
      </c>
      <c r="F28" s="16">
        <v>0.04969999999999999</v>
      </c>
      <c r="G28" s="16">
        <v>0.0507</v>
      </c>
      <c r="H28" s="17" t="str">
        <f>IFERROR(INDEX($B$1:$G$1,MATCH(MIN(B28:G28),B28:G28,0)),"")</f>
        <v>2 years</v>
      </c>
    </row>
    <row r="29" spans="1:8">
      <c r="A29" s="15">
        <v>43585</v>
      </c>
      <c r="B29" s="16">
        <v>0.0495</v>
      </c>
      <c r="C29" s="16">
        <v>0.0404</v>
      </c>
      <c r="D29" s="16">
        <v>0.0392</v>
      </c>
      <c r="E29" s="16">
        <v>0.0408</v>
      </c>
      <c r="F29" s="16">
        <v>0.0449</v>
      </c>
      <c r="G29" s="16">
        <v>0.0459</v>
      </c>
      <c r="H29" s="17" t="str">
        <f>IFERROR(INDEX($B$1:$G$1,MATCH(MIN(B29:G29),B29:G29,0)),"")</f>
        <v>2 years</v>
      </c>
    </row>
    <row r="30" spans="1:8">
      <c r="A30" s="15">
        <v>43616</v>
      </c>
      <c r="B30" s="16">
        <v>0.0495</v>
      </c>
      <c r="C30" s="16">
        <v>0.0392</v>
      </c>
      <c r="D30" s="16">
        <v>0.0392</v>
      </c>
      <c r="E30" s="16">
        <v>0.04019999999999999</v>
      </c>
      <c r="F30" s="16">
        <v>0.0438</v>
      </c>
      <c r="G30" s="16">
        <v>0.0446</v>
      </c>
      <c r="H30" s="17" t="str">
        <f>IFERROR(INDEX($B$1:$G$1,MATCH(MIN(B30:G30),B30:G30,0)),"")</f>
        <v>1 year</v>
      </c>
    </row>
    <row r="31" spans="1:8">
      <c r="A31" s="15">
        <v>43646</v>
      </c>
      <c r="B31" s="16">
        <v>0.0476</v>
      </c>
      <c r="C31" s="16">
        <v>0.0388</v>
      </c>
      <c r="D31" s="16">
        <v>0.0384</v>
      </c>
      <c r="E31" s="16">
        <v>0.0403</v>
      </c>
      <c r="F31" s="16">
        <v>0.0438</v>
      </c>
      <c r="G31" s="16">
        <v>0.0446</v>
      </c>
      <c r="H31" s="17" t="str">
        <f>IFERROR(INDEX($B$1:$G$1,MATCH(MIN(B31:G31),B31:G31,0)),"")</f>
        <v>2 years</v>
      </c>
    </row>
    <row r="32" spans="1:8">
      <c r="A32" s="15">
        <v>43677</v>
      </c>
      <c r="B32" s="16">
        <v>0.0472</v>
      </c>
      <c r="C32" s="16">
        <v>0.0386</v>
      </c>
      <c r="D32" s="16">
        <v>0.0379</v>
      </c>
      <c r="E32" s="16">
        <v>0.04019999999999999</v>
      </c>
      <c r="F32" s="16">
        <v>0.0438</v>
      </c>
      <c r="G32" s="16">
        <v>0.0446</v>
      </c>
      <c r="H32" s="17" t="str">
        <f>IFERROR(INDEX($B$1:$G$1,MATCH(MIN(B32:G32),B32:G32,0)),"")</f>
        <v>2 years</v>
      </c>
    </row>
    <row r="33" spans="1:8">
      <c r="A33" s="15">
        <v>43708</v>
      </c>
      <c r="B33" s="16">
        <v>0.0437</v>
      </c>
      <c r="C33" s="16">
        <v>0.0366</v>
      </c>
      <c r="D33" s="16">
        <v>0.0366</v>
      </c>
      <c r="E33" s="16">
        <v>0.0395</v>
      </c>
      <c r="F33" s="16">
        <v>0.0431</v>
      </c>
      <c r="G33" s="16">
        <v>0.0438</v>
      </c>
      <c r="H33" s="17" t="str">
        <f>IFERROR(INDEX($B$1:$G$1,MATCH(MIN(B33:G33),B33:G33,0)),"")</f>
        <v>1 year</v>
      </c>
    </row>
    <row r="34" spans="1:8">
      <c r="A34" s="15">
        <v>43738</v>
      </c>
      <c r="B34" s="16">
        <v>0.0433</v>
      </c>
      <c r="C34" s="16">
        <v>0.0352</v>
      </c>
      <c r="D34" s="16">
        <v>0.0344</v>
      </c>
      <c r="E34" s="16">
        <v>0.0381</v>
      </c>
      <c r="F34" s="16">
        <v>0.0409</v>
      </c>
      <c r="G34" s="16">
        <v>0.0416</v>
      </c>
      <c r="H34" s="17" t="str">
        <f>IFERROR(INDEX($B$1:$G$1,MATCH(MIN(B34:G34),B34:G34,0)),"")</f>
        <v>2 years</v>
      </c>
    </row>
    <row r="35" spans="1:8">
      <c r="A35" s="15">
        <v>43769</v>
      </c>
      <c r="B35" s="16">
        <v>0.0414</v>
      </c>
      <c r="C35" s="16">
        <v>0.0349</v>
      </c>
      <c r="D35" s="16">
        <v>0.034</v>
      </c>
      <c r="E35" s="16">
        <v>0.0385</v>
      </c>
      <c r="F35" s="16">
        <v>0.0414</v>
      </c>
      <c r="G35" s="16">
        <v>0.0421</v>
      </c>
      <c r="H35" s="17" t="str">
        <f>IFERROR(INDEX($B$1:$G$1,MATCH(MIN(B35:G35),B35:G35,0)),"")</f>
        <v>2 years</v>
      </c>
    </row>
    <row r="36" spans="1:8">
      <c r="A36" s="15">
        <v>43799</v>
      </c>
      <c r="B36" s="16">
        <v>0.04</v>
      </c>
      <c r="C36" s="16">
        <v>0.0341</v>
      </c>
      <c r="D36" s="16">
        <v>0.0344</v>
      </c>
      <c r="E36" s="16">
        <v>0.0383</v>
      </c>
      <c r="F36" s="16">
        <v>0.0409</v>
      </c>
      <c r="G36" s="16">
        <v>0.0415</v>
      </c>
      <c r="H36" s="17" t="str">
        <f>IFERROR(INDEX($B$1:$G$1,MATCH(MIN(B36:G36),B36:G36,0)),"")</f>
        <v>1 year</v>
      </c>
    </row>
    <row r="37" spans="1:8">
      <c r="A37" s="15">
        <v>43830</v>
      </c>
      <c r="B37" s="16">
        <v>0.04</v>
      </c>
      <c r="C37" s="16">
        <v>0.0338</v>
      </c>
      <c r="D37" s="16">
        <v>0.0349</v>
      </c>
      <c r="E37" s="16">
        <v>0.0382</v>
      </c>
      <c r="F37" s="16">
        <v>0.0411</v>
      </c>
      <c r="G37" s="16">
        <v>0.04190000000000001</v>
      </c>
      <c r="H37" s="17" t="str">
        <f>IFERROR(INDEX($B$1:$G$1,MATCH(MIN(B37:G37),B37:G37,0)),"")</f>
        <v>1 year</v>
      </c>
    </row>
    <row r="38" spans="1:8">
      <c r="A38" s="15">
        <v>43861</v>
      </c>
      <c r="B38" s="16">
        <v>0.04</v>
      </c>
      <c r="C38" s="16">
        <v>0.0337</v>
      </c>
      <c r="D38" s="16">
        <v>0.0349</v>
      </c>
      <c r="E38" s="16">
        <v>0.0382</v>
      </c>
      <c r="F38" s="16">
        <v>0.0411</v>
      </c>
      <c r="G38" s="16">
        <v>0.04190000000000001</v>
      </c>
      <c r="H38" s="17" t="str">
        <f>IFERROR(INDEX($B$1:$G$1,MATCH(MIN(B38:G38),B38:G38,0)),"")</f>
        <v>1 year</v>
      </c>
    </row>
    <row r="39" spans="1:8">
      <c r="A39" s="15">
        <v>43890</v>
      </c>
      <c r="B39" s="16">
        <v>0.04</v>
      </c>
      <c r="C39" s="16">
        <v>0.0336</v>
      </c>
      <c r="D39" s="16">
        <v>0.0347</v>
      </c>
      <c r="E39" s="16">
        <v>0.0382</v>
      </c>
      <c r="F39" s="16">
        <v>0.0407</v>
      </c>
      <c r="G39" s="16">
        <v>0.0416</v>
      </c>
      <c r="H39" s="17" t="str">
        <f>IFERROR(INDEX($B$1:$G$1,MATCH(MIN(B39:G39),B39:G39,0)),"")</f>
        <v>1 year</v>
      </c>
    </row>
    <row r="40" spans="1:8">
      <c r="A40" s="15">
        <v>43921</v>
      </c>
      <c r="B40" s="16">
        <v>0.0392</v>
      </c>
      <c r="C40" s="16">
        <v>0.0308</v>
      </c>
      <c r="D40" s="16">
        <v>0.0333</v>
      </c>
      <c r="E40" s="16">
        <v>0.0366</v>
      </c>
      <c r="F40" s="16">
        <v>0.0375</v>
      </c>
      <c r="G40" s="16">
        <v>0.0386</v>
      </c>
      <c r="H40" s="17" t="str">
        <f>IFERROR(INDEX($B$1:$G$1,MATCH(MIN(B40:G40),B40:G40,0)),"")</f>
        <v>1 year</v>
      </c>
    </row>
    <row r="41" spans="1:8">
      <c r="A41" s="15">
        <v>43951</v>
      </c>
      <c r="B41" s="16">
        <v>0.0392</v>
      </c>
      <c r="C41" s="16">
        <v>0.0307</v>
      </c>
      <c r="D41" s="16">
        <v>0.0332</v>
      </c>
      <c r="E41" s="16">
        <v>0.0366</v>
      </c>
      <c r="F41" s="16">
        <v>0.0375</v>
      </c>
      <c r="G41" s="16">
        <v>0.0386</v>
      </c>
      <c r="H41" s="17" t="str">
        <f>IFERROR(INDEX($B$1:$G$1,MATCH(MIN(B41:G41),B41:G41,0)),"")</f>
        <v>1 year</v>
      </c>
    </row>
    <row r="42" spans="1:8">
      <c r="A42" s="15">
        <v>43982</v>
      </c>
      <c r="B42" s="16">
        <v>0.0378</v>
      </c>
      <c r="C42" s="16">
        <v>0.028</v>
      </c>
      <c r="D42" s="16">
        <v>0.0282</v>
      </c>
      <c r="E42" s="16">
        <v>0.03240000000000001</v>
      </c>
      <c r="F42" s="16">
        <v>0.0344</v>
      </c>
      <c r="G42" s="16">
        <v>0.0353</v>
      </c>
      <c r="H42" s="17" t="str">
        <f>IFERROR(INDEX($B$1:$G$1,MATCH(MIN(B42:G42),B42:G42,0)),"")</f>
        <v>1 year</v>
      </c>
    </row>
    <row r="43" spans="1:8">
      <c r="A43" s="15">
        <v>44012</v>
      </c>
      <c r="B43" s="16">
        <v>0.035</v>
      </c>
      <c r="C43" s="16">
        <v>0.0267</v>
      </c>
      <c r="D43" s="16">
        <v>0.027</v>
      </c>
      <c r="E43" s="16">
        <v>0.0299</v>
      </c>
      <c r="F43" s="16">
        <v>0.0307</v>
      </c>
      <c r="G43" s="16">
        <v>0.0313</v>
      </c>
      <c r="H43" s="17" t="str">
        <f>IFERROR(INDEX($B$1:$G$1,MATCH(MIN(B43:G43),B43:G43,0)),"")</f>
        <v>1 year</v>
      </c>
    </row>
    <row r="44" spans="1:8">
      <c r="A44" s="15">
        <v>44043</v>
      </c>
      <c r="B44" s="16">
        <v>0.0339</v>
      </c>
      <c r="C44" s="16">
        <v>0.0257</v>
      </c>
      <c r="D44" s="16">
        <v>0.0269</v>
      </c>
      <c r="E44" s="16">
        <v>0.0286</v>
      </c>
      <c r="F44" s="16">
        <v>0.0301</v>
      </c>
      <c r="G44" s="16">
        <v>0.0307</v>
      </c>
      <c r="H44" s="17" t="str">
        <f>IFERROR(INDEX($B$1:$G$1,MATCH(MIN(B44:G44),B44:G44,0)),"")</f>
        <v>1 year</v>
      </c>
    </row>
    <row r="45" spans="1:8">
      <c r="A45" s="15">
        <v>44074</v>
      </c>
      <c r="B45" s="16">
        <v>0.0337</v>
      </c>
      <c r="C45" s="16">
        <v>0.0256</v>
      </c>
      <c r="D45" s="16">
        <v>0.0269</v>
      </c>
      <c r="E45" s="16">
        <v>0.0278</v>
      </c>
      <c r="F45" s="16">
        <v>0.03</v>
      </c>
      <c r="G45" s="16">
        <v>0.0307</v>
      </c>
      <c r="H45" s="17" t="str">
        <f>IFERROR(INDEX($B$1:$G$1,MATCH(MIN(B45:G45),B45:G45,0)),"")</f>
        <v>1 year</v>
      </c>
    </row>
    <row r="46" spans="1:8">
      <c r="A46" s="15">
        <v>44104</v>
      </c>
      <c r="B46" s="16">
        <v>0.0337</v>
      </c>
      <c r="C46" s="16">
        <v>0.0256</v>
      </c>
      <c r="D46" s="16">
        <v>0.0269</v>
      </c>
      <c r="E46" s="16">
        <v>0.0278</v>
      </c>
      <c r="F46" s="16">
        <v>0.03</v>
      </c>
      <c r="G46" s="16">
        <v>0.0307</v>
      </c>
      <c r="H46" s="17" t="str">
        <f>IFERROR(INDEX($B$1:$G$1,MATCH(MIN(B46:G46),B46:G46,0)),"")</f>
        <v>1 year</v>
      </c>
    </row>
    <row r="47" spans="1:8">
      <c r="A47" s="15">
        <v>44135</v>
      </c>
      <c r="B47" s="16">
        <v>0.03240000000000001</v>
      </c>
      <c r="C47" s="16">
        <v>0.0253</v>
      </c>
      <c r="D47" s="16">
        <v>0.0267</v>
      </c>
      <c r="E47" s="16">
        <v>0.0276</v>
      </c>
      <c r="F47" s="16">
        <v>0.0298</v>
      </c>
      <c r="G47" s="16">
        <v>0.0304</v>
      </c>
      <c r="H47" s="17" t="str">
        <f>IFERROR(INDEX($B$1:$G$1,MATCH(MIN(B47:G47),B47:G47,0)),"")</f>
        <v>1 year</v>
      </c>
    </row>
    <row r="48" spans="1:8">
      <c r="A48" s="15">
        <v>44165</v>
      </c>
      <c r="B48" s="16">
        <v>0.03240000000000001</v>
      </c>
      <c r="C48" s="16">
        <v>0.0253</v>
      </c>
      <c r="D48" s="16">
        <v>0.0264</v>
      </c>
      <c r="E48" s="16">
        <v>0.0275</v>
      </c>
      <c r="F48" s="16">
        <v>0.0297</v>
      </c>
      <c r="G48" s="16">
        <v>0.0304</v>
      </c>
      <c r="H48" s="17" t="str">
        <f>IFERROR(INDEX($B$1:$G$1,MATCH(MIN(B48:G48),B48:G48,0)),"")</f>
        <v>1 year</v>
      </c>
    </row>
    <row r="49" spans="1:8">
      <c r="A49" s="15">
        <v>44196</v>
      </c>
      <c r="B49" s="16">
        <v>0.03240000000000001</v>
      </c>
      <c r="C49" s="16">
        <v>0.0253</v>
      </c>
      <c r="D49" s="16">
        <v>0.0264</v>
      </c>
      <c r="E49" s="16">
        <v>0.0275</v>
      </c>
      <c r="F49" s="16">
        <v>0.0297</v>
      </c>
      <c r="G49" s="16">
        <v>0.0304</v>
      </c>
      <c r="H49" s="17" t="str">
        <f>IFERROR(INDEX($B$1:$G$1,MATCH(MIN(B49:G49),B49:G49,0)),"")</f>
        <v>1 year</v>
      </c>
    </row>
    <row r="50" spans="1:8">
      <c r="A50" s="15">
        <v>44227</v>
      </c>
      <c r="B50" s="16">
        <v>0.03240000000000001</v>
      </c>
      <c r="C50" s="16">
        <v>0.0237</v>
      </c>
      <c r="D50" s="16">
        <v>0.0263</v>
      </c>
      <c r="E50" s="16">
        <v>0.0275</v>
      </c>
      <c r="F50" s="16">
        <v>0.0297</v>
      </c>
      <c r="G50" s="16">
        <v>0.0304</v>
      </c>
      <c r="H50" s="17" t="str">
        <f>IFERROR(INDEX($B$1:$G$1,MATCH(MIN(B50:G50),B50:G50,0)),"")</f>
        <v>1 year</v>
      </c>
    </row>
    <row r="51" spans="1:8">
      <c r="A51" s="15">
        <v>44255</v>
      </c>
      <c r="B51" s="16">
        <v>0.03240000000000001</v>
      </c>
      <c r="C51" s="16">
        <v>0.0229</v>
      </c>
      <c r="D51" s="16">
        <v>0.0258</v>
      </c>
      <c r="E51" s="16">
        <v>0.0273</v>
      </c>
      <c r="F51" s="16">
        <v>0.0296</v>
      </c>
      <c r="G51" s="16">
        <v>0.0301</v>
      </c>
      <c r="H51" s="17" t="str">
        <f>IFERROR(INDEX($B$1:$G$1,MATCH(MIN(B51:G51),B51:G51,0)),"")</f>
        <v>1 year</v>
      </c>
    </row>
    <row r="52" spans="1:8">
      <c r="A52" s="15">
        <v>44286</v>
      </c>
      <c r="B52" s="16">
        <v>0.03240000000000001</v>
      </c>
      <c r="C52" s="16">
        <v>0.0229</v>
      </c>
      <c r="D52" s="16">
        <v>0.0258</v>
      </c>
      <c r="E52" s="16">
        <v>0.0273</v>
      </c>
      <c r="F52" s="16">
        <v>0.0296</v>
      </c>
      <c r="G52" s="16">
        <v>0.0301</v>
      </c>
      <c r="H52" s="17" t="str">
        <f>IFERROR(INDEX($B$1:$G$1,MATCH(MIN(B52:G52),B52:G52,0)),"")</f>
        <v>1 year</v>
      </c>
    </row>
    <row r="53" spans="1:8">
      <c r="A53" s="15">
        <v>44316</v>
      </c>
      <c r="B53" s="16">
        <v>0.03240000000000001</v>
      </c>
      <c r="C53" s="16">
        <v>0.0231</v>
      </c>
      <c r="D53" s="16">
        <v>0.0256</v>
      </c>
      <c r="E53" s="16">
        <v>0.0279</v>
      </c>
      <c r="F53" s="16">
        <v>0.03</v>
      </c>
      <c r="G53" s="16">
        <v>0.0313</v>
      </c>
      <c r="H53" s="17" t="str">
        <f>IFERROR(INDEX($B$1:$G$1,MATCH(MIN(B53:G53),B53:G53,0)),"")</f>
        <v>1 year</v>
      </c>
    </row>
    <row r="54" spans="1:8">
      <c r="A54" s="15">
        <v>44347</v>
      </c>
      <c r="B54" s="16">
        <v>0.03240000000000001</v>
      </c>
      <c r="C54" s="16">
        <v>0.0227</v>
      </c>
      <c r="D54" s="16">
        <v>0.0256</v>
      </c>
      <c r="E54" s="16">
        <v>0.0281</v>
      </c>
      <c r="F54" s="16">
        <v>0.0307</v>
      </c>
      <c r="G54" s="16">
        <v>0.0333</v>
      </c>
      <c r="H54" s="17" t="str">
        <f>IFERROR(INDEX($B$1:$G$1,MATCH(MIN(B54:G54),B54:G54,0)),"")</f>
        <v>1 year</v>
      </c>
    </row>
    <row r="55" spans="1:8">
      <c r="A55" s="15">
        <v>44377</v>
      </c>
      <c r="B55" s="16">
        <v>0.0309</v>
      </c>
      <c r="C55" s="16">
        <v>0.0221</v>
      </c>
      <c r="D55" s="16">
        <v>0.0257</v>
      </c>
      <c r="E55" s="16">
        <v>0.0291</v>
      </c>
      <c r="F55" s="16">
        <v>0.0328</v>
      </c>
      <c r="G55" s="16">
        <v>0.0357</v>
      </c>
      <c r="H55" s="17" t="str">
        <f>IFERROR(INDEX($B$1:$G$1,MATCH(MIN(B55:G55),B55:G55,0)),"")</f>
        <v>1 year</v>
      </c>
    </row>
    <row r="56" spans="1:8">
      <c r="A56" s="15">
        <v>44408</v>
      </c>
      <c r="B56" s="16">
        <v>0.0316</v>
      </c>
      <c r="C56" s="16">
        <v>0.0248</v>
      </c>
      <c r="D56" s="16">
        <v>0.0282</v>
      </c>
      <c r="E56" s="16">
        <v>0.0319</v>
      </c>
      <c r="F56" s="16">
        <v>0.0351</v>
      </c>
      <c r="G56" s="16">
        <v>0.0383</v>
      </c>
      <c r="H56" s="17" t="str">
        <f>IFERROR(INDEX($B$1:$G$1,MATCH(MIN(B56:G56),B56:G56,0)),"")</f>
        <v>1 year</v>
      </c>
    </row>
    <row r="57" spans="1:8">
      <c r="A57" s="15">
        <v>44439</v>
      </c>
      <c r="B57" s="16">
        <v>0.0316</v>
      </c>
      <c r="C57" s="16">
        <v>0.0249</v>
      </c>
      <c r="D57" s="16">
        <v>0.0286</v>
      </c>
      <c r="E57" s="16">
        <v>0.0318</v>
      </c>
      <c r="F57" s="16">
        <v>0.0351</v>
      </c>
      <c r="G57" s="16">
        <v>0.0383</v>
      </c>
      <c r="H57" s="17" t="str">
        <f>IFERROR(INDEX($B$1:$G$1,MATCH(MIN(B57:G57),B57:G57,0)),"")</f>
        <v>1 year</v>
      </c>
    </row>
    <row r="58" spans="1:8">
      <c r="A58" s="15">
        <v>44469</v>
      </c>
      <c r="B58" s="16">
        <v>0.0322</v>
      </c>
      <c r="C58" s="16">
        <v>0.0272</v>
      </c>
      <c r="D58" s="16">
        <v>0.0314</v>
      </c>
      <c r="E58" s="16">
        <v>0.0342</v>
      </c>
      <c r="F58" s="16">
        <v>0.0383</v>
      </c>
      <c r="G58" s="16">
        <v>0.0403</v>
      </c>
      <c r="H58" s="17" t="str">
        <f>IFERROR(INDEX($B$1:$G$1,MATCH(MIN(B58:G58),B58:G58,0)),"")</f>
        <v>1 year</v>
      </c>
    </row>
    <row r="59" spans="1:8">
      <c r="A59" s="15">
        <v>44500</v>
      </c>
      <c r="B59" s="16">
        <v>0.036</v>
      </c>
      <c r="C59" s="16">
        <v>0.0316</v>
      </c>
      <c r="D59" s="16">
        <v>0.0366</v>
      </c>
      <c r="E59" s="16">
        <v>0.0389</v>
      </c>
      <c r="F59" s="16">
        <v>0.04269999999999999</v>
      </c>
      <c r="G59" s="16">
        <v>0.0443</v>
      </c>
      <c r="H59" s="17" t="str">
        <f>IFERROR(INDEX($B$1:$G$1,MATCH(MIN(B59:G59),B59:G59,0)),"")</f>
        <v>1 year</v>
      </c>
    </row>
    <row r="60" spans="1:8">
      <c r="A60" s="15">
        <v>44530</v>
      </c>
      <c r="B60" s="16">
        <v>0.0386</v>
      </c>
      <c r="C60" s="16">
        <v>0.0354</v>
      </c>
      <c r="D60" s="16">
        <v>0.04219999999999999</v>
      </c>
      <c r="E60" s="16">
        <v>0.0454</v>
      </c>
      <c r="F60" s="16">
        <v>0.0476</v>
      </c>
      <c r="G60" s="16">
        <v>0.0491</v>
      </c>
      <c r="H60" s="17" t="str">
        <f>IFERROR(INDEX($B$1:$G$1,MATCH(MIN(B60:G60),B60:G60,0)),"")</f>
        <v>1 year</v>
      </c>
    </row>
    <row r="61" spans="1:8">
      <c r="A61" s="15">
        <v>44561</v>
      </c>
      <c r="B61" s="16">
        <v>0.0386</v>
      </c>
      <c r="C61" s="16">
        <v>0.0359</v>
      </c>
      <c r="D61" s="16">
        <v>0.0425</v>
      </c>
      <c r="E61" s="16">
        <v>0.0461</v>
      </c>
      <c r="F61" s="16">
        <v>0.048</v>
      </c>
      <c r="G61" s="16">
        <v>0.04940000000000001</v>
      </c>
      <c r="H61" s="17" t="str">
        <f>IFERROR(INDEX($B$1:$G$1,MATCH(MIN(B61:G61),B61:G61,0)),"")</f>
        <v>1 year</v>
      </c>
    </row>
    <row r="62" spans="1:8">
      <c r="A62" s="15">
        <v>44592</v>
      </c>
      <c r="B62" s="16">
        <v>0.0386</v>
      </c>
      <c r="C62" s="16">
        <v>0.0357</v>
      </c>
      <c r="D62" s="16">
        <v>0.0425</v>
      </c>
      <c r="E62" s="16">
        <v>0.0461</v>
      </c>
      <c r="F62" s="16">
        <v>0.048</v>
      </c>
      <c r="G62" s="16">
        <v>0.04940000000000001</v>
      </c>
      <c r="H62" s="17" t="str">
        <f>IFERROR(INDEX($B$1:$G$1,MATCH(MIN(B62:G62),B62:G62,0)),"")</f>
        <v>1 year</v>
      </c>
    </row>
    <row r="63" spans="1:8">
      <c r="A63" s="15">
        <v>44620</v>
      </c>
      <c r="B63" s="16">
        <v>0.0396</v>
      </c>
      <c r="C63" s="16">
        <v>0.0371</v>
      </c>
      <c r="D63" s="16">
        <v>0.0429</v>
      </c>
      <c r="E63" s="16">
        <v>0.0461</v>
      </c>
      <c r="F63" s="16">
        <v>0.04849999999999999</v>
      </c>
      <c r="G63" s="16">
        <v>0.0501</v>
      </c>
      <c r="H63" s="17" t="str">
        <f>IFERROR(INDEX($B$1:$G$1,MATCH(MIN(B63:G63),B63:G63,0)),"")</f>
        <v>1 year</v>
      </c>
    </row>
    <row r="64" spans="1:8">
      <c r="A64" s="15">
        <v>44651</v>
      </c>
      <c r="B64" s="16">
        <v>0.0413</v>
      </c>
      <c r="C64" s="16">
        <v>0.0393</v>
      </c>
      <c r="D64" s="16">
        <v>0.0453</v>
      </c>
      <c r="E64" s="16">
        <v>0.048</v>
      </c>
      <c r="F64" s="16">
        <v>0.0498</v>
      </c>
      <c r="G64" s="16">
        <v>0.051</v>
      </c>
      <c r="H64" s="17" t="str">
        <f>IFERROR(INDEX($B$1:$G$1,MATCH(MIN(B64:G64),B64:G64,0)),"")</f>
        <v>1 year</v>
      </c>
    </row>
    <row r="65" spans="1:8">
      <c r="A65" s="15">
        <v>44681</v>
      </c>
      <c r="B65" s="16">
        <v>0.0447</v>
      </c>
      <c r="C65" s="16">
        <v>0.0431</v>
      </c>
      <c r="D65" s="16">
        <v>0.0507</v>
      </c>
      <c r="E65" s="16">
        <v>0.0533</v>
      </c>
      <c r="F65" s="16">
        <v>0.0562</v>
      </c>
      <c r="G65" s="16">
        <v>0.05860000000000001</v>
      </c>
      <c r="H65" s="17" t="str">
        <f>IFERROR(INDEX($B$1:$G$1,MATCH(MIN(B65:G65),B65:G65,0)),"")</f>
        <v>1 year</v>
      </c>
    </row>
    <row r="66" spans="1:8">
      <c r="A66" s="15">
        <v>44712</v>
      </c>
      <c r="B66" s="16">
        <v>0.0457</v>
      </c>
      <c r="C66" s="16">
        <v>0.0445</v>
      </c>
      <c r="D66" s="16">
        <v>0.0513</v>
      </c>
      <c r="E66" s="16">
        <v>0.0538</v>
      </c>
      <c r="F66" s="16">
        <v>0.0571</v>
      </c>
      <c r="G66" s="16">
        <v>0.0595</v>
      </c>
      <c r="H66" s="17" t="str">
        <f>IFERROR(INDEX($B$1:$G$1,MATCH(MIN(B66:G66),B66:G66,0)),"")</f>
        <v>1 year</v>
      </c>
    </row>
    <row r="67" spans="1:8">
      <c r="A67" s="15">
        <v>44742</v>
      </c>
      <c r="B67" s="16">
        <v>0.0518</v>
      </c>
      <c r="C67" s="16">
        <v>0.05110000000000001</v>
      </c>
      <c r="D67" s="16">
        <v>0.0556</v>
      </c>
      <c r="E67" s="16">
        <v>0.0584</v>
      </c>
      <c r="F67" s="16">
        <v>0.0616</v>
      </c>
      <c r="G67" s="16">
        <v>0.0629</v>
      </c>
      <c r="H67" s="17" t="str">
        <f>IFERROR(INDEX($B$1:$G$1,MATCH(MIN(B67:G67),B67:G67,0)),"")</f>
        <v>1 year</v>
      </c>
    </row>
    <row r="68" spans="1:8">
      <c r="A68" s="15">
        <v>44773</v>
      </c>
      <c r="B68" s="16">
        <v>0.0519</v>
      </c>
      <c r="C68" s="16">
        <v>0.0516</v>
      </c>
      <c r="D68" s="16">
        <v>0.05400000000000001</v>
      </c>
      <c r="E68" s="16">
        <v>0.0584</v>
      </c>
      <c r="F68" s="16">
        <v>0.0616</v>
      </c>
      <c r="G68" s="16">
        <v>0.0629</v>
      </c>
      <c r="H68" s="17" t="str">
        <f>IFERROR(INDEX($B$1:$G$1,MATCH(MIN(B68:G68),B68:G68,0)),"")</f>
        <v>1 year</v>
      </c>
    </row>
    <row r="69" spans="1:8">
      <c r="A69" s="15">
        <v>44804</v>
      </c>
      <c r="B69" s="16">
        <v>0.0506</v>
      </c>
      <c r="C69" s="16">
        <v>0.0491</v>
      </c>
      <c r="D69" s="16">
        <v>0.0537</v>
      </c>
      <c r="E69" s="16">
        <v>0.0562</v>
      </c>
      <c r="F69" s="16">
        <v>0.0595</v>
      </c>
      <c r="G69" s="16">
        <v>0.0601</v>
      </c>
      <c r="H69" s="17" t="str">
        <f>IFERROR(INDEX($B$1:$G$1,MATCH(MIN(B69:G69),B69:G69,0)),"")</f>
        <v>1 year</v>
      </c>
    </row>
    <row r="70" spans="1:8">
      <c r="A70" s="15">
        <v>44834</v>
      </c>
      <c r="B70" s="16">
        <v>0.0528</v>
      </c>
      <c r="C70" s="16">
        <v>0.052</v>
      </c>
      <c r="D70" s="16">
        <v>0.0555</v>
      </c>
      <c r="E70" s="16">
        <v>0.0573</v>
      </c>
      <c r="F70" s="16">
        <v>0.0597</v>
      </c>
      <c r="G70" s="16">
        <v>0.06</v>
      </c>
      <c r="H70" s="17" t="str">
        <f>IFERROR(INDEX($B$1:$G$1,MATCH(MIN(B70:G70),B70:G70,0)),"")</f>
        <v>1 year</v>
      </c>
    </row>
    <row r="71" spans="1:8">
      <c r="A71" s="15">
        <v>44865</v>
      </c>
      <c r="B71" s="16">
        <v>0.05769999999999999</v>
      </c>
      <c r="C71" s="16">
        <v>0.058</v>
      </c>
      <c r="D71" s="16">
        <v>0.0609</v>
      </c>
      <c r="E71" s="16">
        <v>0.06179999999999999</v>
      </c>
      <c r="F71" s="16">
        <v>0.06320000000000001</v>
      </c>
      <c r="G71" s="16">
        <v>0.0634</v>
      </c>
      <c r="H71" s="17" t="str">
        <f>IFERROR(INDEX($B$1:$G$1,MATCH(MIN(B71:G71),B71:G71,0)),"")</f>
        <v>6 months</v>
      </c>
    </row>
    <row r="72" spans="1:8">
      <c r="A72" s="15">
        <v>44895</v>
      </c>
      <c r="B72" s="16">
        <v>0.0612</v>
      </c>
      <c r="C72" s="16">
        <v>0.0601</v>
      </c>
      <c r="D72" s="16">
        <v>0.0626</v>
      </c>
      <c r="E72" s="16">
        <v>0.0636</v>
      </c>
      <c r="F72" s="16">
        <v>0.063</v>
      </c>
      <c r="G72" s="16">
        <v>0.063</v>
      </c>
      <c r="H72" s="17" t="str">
        <f>IFERROR(INDEX($B$1:$G$1,MATCH(MIN(B72:G72),B72:G72,0)),"")</f>
        <v>1 year</v>
      </c>
    </row>
    <row r="73" spans="1:8">
      <c r="A73" s="15">
        <v>44926</v>
      </c>
      <c r="B73" s="16">
        <v>0.06480000000000001</v>
      </c>
      <c r="C73" s="16">
        <v>0.064</v>
      </c>
      <c r="D73" s="16">
        <v>0.066</v>
      </c>
      <c r="E73" s="16">
        <v>0.0668</v>
      </c>
      <c r="F73" s="16">
        <v>0.067</v>
      </c>
      <c r="G73" s="16">
        <v>0.0675</v>
      </c>
      <c r="H73" s="17" t="str">
        <f>IFERROR(INDEX($B$1:$G$1,MATCH(MIN(B73:G73),B73:G73,0)),"")</f>
        <v>1 year</v>
      </c>
    </row>
    <row r="74" spans="1:8">
      <c r="A74" s="15">
        <v>44957</v>
      </c>
      <c r="B74" s="16">
        <v>0.0649</v>
      </c>
      <c r="C74" s="16">
        <v>0.06419999999999999</v>
      </c>
      <c r="D74" s="16">
        <v>0.0659</v>
      </c>
      <c r="E74" s="16">
        <v>0.0668</v>
      </c>
      <c r="F74" s="16">
        <v>0.0669</v>
      </c>
      <c r="G74" s="16">
        <v>0.067</v>
      </c>
      <c r="H74" s="17" t="str">
        <f>IFERROR(INDEX($B$1:$G$1,MATCH(MIN(B74:G74),B74:G74,0)),"")</f>
        <v>1 year</v>
      </c>
    </row>
    <row r="75" spans="1:8">
      <c r="A75" s="15">
        <v>44985</v>
      </c>
      <c r="B75" s="16">
        <v>0.06570000000000001</v>
      </c>
      <c r="C75" s="16">
        <v>0.0649</v>
      </c>
      <c r="D75" s="16">
        <v>0.0643</v>
      </c>
      <c r="E75" s="16">
        <v>0.0654</v>
      </c>
      <c r="F75" s="16">
        <v>0.06570000000000001</v>
      </c>
      <c r="G75" s="16">
        <v>0.0654</v>
      </c>
      <c r="H75" s="17" t="str">
        <f>IFERROR(INDEX($B$1:$G$1,MATCH(MIN(B75:G75),B75:G75,0)),"")</f>
        <v>2 years</v>
      </c>
    </row>
    <row r="76" spans="1:8">
      <c r="A76" s="15">
        <v>45016</v>
      </c>
      <c r="B76" s="16">
        <v>0.06570000000000001</v>
      </c>
      <c r="C76" s="16">
        <v>0.065</v>
      </c>
      <c r="D76" s="16">
        <v>0.06469999999999999</v>
      </c>
      <c r="E76" s="16">
        <v>0.0658</v>
      </c>
      <c r="F76" s="16">
        <v>0.0659</v>
      </c>
      <c r="G76" s="16">
        <v>0.06559999999999999</v>
      </c>
      <c r="H76" s="17" t="str">
        <f>IFERROR(INDEX($B$1:$G$1,MATCH(MIN(B76:G76),B76:G76,0)),"")</f>
        <v>2 years</v>
      </c>
    </row>
    <row r="77" spans="1:8">
      <c r="A77" s="15">
        <v>45046</v>
      </c>
      <c r="B77" s="16">
        <v>0.0679</v>
      </c>
      <c r="C77" s="16">
        <v>0.0667</v>
      </c>
      <c r="D77" s="16">
        <v>0.0654</v>
      </c>
      <c r="E77" s="16">
        <v>0.063</v>
      </c>
      <c r="F77" s="16">
        <v>0.06320000000000001</v>
      </c>
      <c r="G77" s="16">
        <v>0.06320000000000001</v>
      </c>
      <c r="H77" s="17" t="str">
        <f>IFERROR(INDEX($B$1:$G$1,MATCH(MIN(B77:G77),B77:G77,0)),"")</f>
        <v>3 years</v>
      </c>
    </row>
    <row r="78" spans="1:8">
      <c r="A78" s="15">
        <v>45077</v>
      </c>
      <c r="B78" s="16">
        <v>0.068</v>
      </c>
      <c r="C78" s="16">
        <v>0.0669</v>
      </c>
      <c r="D78" s="16">
        <v>0.0649</v>
      </c>
      <c r="E78" s="16">
        <v>0.0622</v>
      </c>
      <c r="F78" s="16">
        <v>0.06280000000000001</v>
      </c>
      <c r="G78" s="16">
        <v>0.0629</v>
      </c>
      <c r="H78" s="17" t="str">
        <f>IFERROR(INDEX($B$1:$G$1,MATCH(MIN(B78:G78),B78:G78,0)),"")</f>
        <v>3 years</v>
      </c>
    </row>
    <row r="79" spans="1:8">
      <c r="A79" s="15">
        <v>45107</v>
      </c>
      <c r="B79" s="16">
        <v>0.0699</v>
      </c>
      <c r="C79" s="16">
        <v>0.0688</v>
      </c>
      <c r="D79" s="16">
        <v>0.0654</v>
      </c>
      <c r="E79" s="16">
        <v>0.0629</v>
      </c>
      <c r="F79" s="16">
        <v>0.0629</v>
      </c>
      <c r="G79" s="16">
        <v>0.0629</v>
      </c>
      <c r="H79" s="17" t="str">
        <f>IFERROR(INDEX($B$1:$G$1,MATCH(MIN(B79:G79),B79:G79,0)),"")</f>
        <v>3 years</v>
      </c>
    </row>
    <row r="80" spans="1:8">
      <c r="A80" s="15">
        <v>45138</v>
      </c>
      <c r="B80" s="16">
        <v>0.07190000000000001</v>
      </c>
      <c r="C80" s="16">
        <v>0.07049999999999999</v>
      </c>
      <c r="D80" s="16">
        <v>0.0673</v>
      </c>
      <c r="E80" s="16">
        <v>0.0644</v>
      </c>
      <c r="F80" s="16">
        <v>0.0635</v>
      </c>
      <c r="G80" s="16">
        <v>0.0629</v>
      </c>
      <c r="H80" s="17" t="str">
        <f>IFERROR(INDEX($B$1:$G$1,MATCH(MIN(B80:G80),B80:G80,0)),"")</f>
        <v>5 years</v>
      </c>
    </row>
    <row r="81" spans="1:8">
      <c r="A81" s="15">
        <v>45169</v>
      </c>
      <c r="B81" s="16">
        <v>0.07200000000000001</v>
      </c>
      <c r="C81" s="16">
        <v>0.07099999999999999</v>
      </c>
      <c r="D81" s="16">
        <v>0.0678</v>
      </c>
      <c r="E81" s="16">
        <v>0.06480000000000001</v>
      </c>
      <c r="F81" s="16">
        <v>0.0645</v>
      </c>
      <c r="G81" s="16">
        <v>0.0641</v>
      </c>
      <c r="H81" s="17" t="str">
        <f>IFERROR(INDEX($B$1:$G$1,MATCH(MIN(B81:G81),B81:G81,0)),"")</f>
        <v>5 years</v>
      </c>
    </row>
    <row r="82" spans="1:8">
      <c r="A82" s="15">
        <v>45199</v>
      </c>
      <c r="B82" s="16">
        <v>0.07240000000000001</v>
      </c>
      <c r="C82" s="16">
        <v>0.07150000000000001</v>
      </c>
      <c r="D82" s="16">
        <v>0.06909999999999999</v>
      </c>
      <c r="E82" s="16">
        <v>0.0665</v>
      </c>
      <c r="F82" s="16">
        <v>0.06519999999999999</v>
      </c>
      <c r="G82" s="16">
        <v>0.0646</v>
      </c>
      <c r="H82" s="17" t="str">
        <f>IFERROR(INDEX($B$1:$G$1,MATCH(MIN(B82:G82),B82:G82,0)),"")</f>
        <v>5 years</v>
      </c>
    </row>
    <row r="83" spans="1:8">
      <c r="A83" s="15">
        <v>45230</v>
      </c>
      <c r="B83" s="16">
        <v>0.07339999999999999</v>
      </c>
      <c r="C83" s="16">
        <v>0.0726</v>
      </c>
      <c r="D83" s="16">
        <v>0.0701</v>
      </c>
      <c r="E83" s="16">
        <v>0.0679</v>
      </c>
      <c r="F83" s="16">
        <v>0.0668</v>
      </c>
      <c r="G83" s="16">
        <v>0.0665</v>
      </c>
      <c r="H83" s="17" t="str">
        <f>IFERROR(INDEX($B$1:$G$1,MATCH(MIN(B83:G83),B83:G83,0)),"")</f>
        <v>5 years</v>
      </c>
    </row>
    <row r="84" spans="1:8">
      <c r="A84" s="15">
        <v>45260</v>
      </c>
      <c r="B84" s="16">
        <v>0.0738</v>
      </c>
      <c r="C84" s="16">
        <v>0.073</v>
      </c>
      <c r="D84" s="16">
        <v>0.0701</v>
      </c>
      <c r="E84" s="16">
        <v>0.0679</v>
      </c>
      <c r="F84" s="16">
        <v>0.067</v>
      </c>
      <c r="G84" s="16">
        <v>0.06660000000000001</v>
      </c>
      <c r="H84" s="17" t="str">
        <f>IFERROR(INDEX($B$1:$G$1,MATCH(MIN(B84:G84),B84:G84,0)),"")</f>
        <v>5 years</v>
      </c>
    </row>
    <row r="85" spans="1:8">
      <c r="A85" s="15">
        <v>45291</v>
      </c>
      <c r="B85" s="16">
        <v>0.0736</v>
      </c>
      <c r="C85" s="16">
        <v>0.073</v>
      </c>
      <c r="D85" s="16">
        <v>0.0696</v>
      </c>
      <c r="E85" s="16">
        <v>0.06759999999999999</v>
      </c>
      <c r="F85" s="16">
        <v>0.067</v>
      </c>
      <c r="G85" s="16">
        <v>0.06660000000000001</v>
      </c>
      <c r="H85" s="17" t="str">
        <f>IFERROR(INDEX($B$1:$G$1,MATCH(MIN(B85:G85),B85:G85,0)),"")</f>
        <v>5 years</v>
      </c>
    </row>
    <row r="86" spans="1:8">
      <c r="A86" s="15">
        <v>45322</v>
      </c>
      <c r="B86" s="16">
        <v>0.07339999999999999</v>
      </c>
      <c r="C86" s="16">
        <v>0.07290000000000001</v>
      </c>
      <c r="D86" s="16">
        <v>0.06860000000000001</v>
      </c>
      <c r="E86" s="16">
        <v>0.0673</v>
      </c>
      <c r="F86" s="16">
        <v>0.0667</v>
      </c>
      <c r="G86" s="16">
        <v>0.066</v>
      </c>
      <c r="H86" s="17" t="str">
        <f>IFERROR(INDEX($B$1:$G$1,MATCH(MIN(B86:G86),B86:G86,0)),"")</f>
        <v>5 years</v>
      </c>
    </row>
    <row r="87" spans="1:8">
      <c r="A87" s="15">
        <v>45351</v>
      </c>
      <c r="B87" s="16">
        <v>0.07339999999999999</v>
      </c>
      <c r="C87" s="16">
        <v>0.0728</v>
      </c>
      <c r="D87" s="16">
        <v>0.06860000000000001</v>
      </c>
      <c r="E87" s="16">
        <v>0.067</v>
      </c>
      <c r="F87" s="16">
        <v>0.0663</v>
      </c>
      <c r="G87" s="16">
        <v>0.06559999999999999</v>
      </c>
      <c r="H87" s="17" t="str">
        <f>IFERROR(INDEX($B$1:$G$1,MATCH(MIN(B87:G87),B87:G87,0)),"")</f>
        <v>5 years</v>
      </c>
    </row>
    <row r="88" spans="1:8">
      <c r="A88" s="15">
        <v>45382</v>
      </c>
      <c r="B88" s="16">
        <v>0.0731</v>
      </c>
      <c r="C88" s="16">
        <v>0.07190000000000001</v>
      </c>
      <c r="D88" s="16">
        <v>0.0678</v>
      </c>
      <c r="E88" s="16">
        <v>0.06610000000000001</v>
      </c>
      <c r="F88" s="16">
        <v>0.06519999999999999</v>
      </c>
      <c r="G88" s="16">
        <v>0.0649</v>
      </c>
      <c r="H88" s="17" t="str">
        <f>IFERROR(INDEX($B$1:$G$1,MATCH(MIN(B88:G88),B88:G88,0)),"")</f>
        <v>5 years</v>
      </c>
    </row>
    <row r="89" spans="1:8">
      <c r="A89" s="15">
        <v>45412</v>
      </c>
      <c r="B89" s="16">
        <v>0.0731</v>
      </c>
      <c r="C89" s="16">
        <v>0.0716</v>
      </c>
      <c r="D89" s="16">
        <v>0.0675</v>
      </c>
      <c r="E89" s="16">
        <v>0.0653</v>
      </c>
      <c r="F89" s="16">
        <v>0.06469999999999999</v>
      </c>
      <c r="G89" s="16">
        <v>0.0644</v>
      </c>
      <c r="H89" s="17" t="str">
        <f>IFERROR(INDEX($B$1:$G$1,MATCH(MIN(B89:G89),B89:G89,0)),"")</f>
        <v>5 years</v>
      </c>
    </row>
    <row r="90" spans="1:8">
      <c r="A90" s="15">
        <v>45443</v>
      </c>
      <c r="B90" s="16">
        <v>0.0726</v>
      </c>
      <c r="C90" s="16">
        <v>0.0707</v>
      </c>
      <c r="D90" s="16">
        <v>0.0675</v>
      </c>
      <c r="E90" s="16">
        <v>0.065</v>
      </c>
      <c r="F90" s="16">
        <v>0.0644</v>
      </c>
      <c r="G90" s="16">
        <v>0.0644</v>
      </c>
      <c r="H90" s="17" t="str">
        <f>IFERROR(INDEX($B$1:$G$1,MATCH(MIN(B90:G90),B90:G90,0)),"")</f>
        <v>4 years</v>
      </c>
    </row>
    <row r="91" spans="1:8">
      <c r="A91" s="15">
        <v>45473</v>
      </c>
      <c r="B91" s="16">
        <v>0.0725</v>
      </c>
      <c r="C91" s="16">
        <v>0.0706</v>
      </c>
      <c r="D91" s="16">
        <v>0.0672</v>
      </c>
      <c r="E91" s="16">
        <v>0.0654</v>
      </c>
      <c r="F91" s="16">
        <v>0.0644</v>
      </c>
      <c r="G91" s="16">
        <v>0.0644</v>
      </c>
      <c r="H91" s="17" t="str">
        <f>IFERROR(INDEX($B$1:$G$1,MATCH(MIN(B91:G91),B91:G91,0)),"")</f>
        <v>4 years</v>
      </c>
    </row>
    <row r="92" spans="1:8">
      <c r="A92" s="15">
        <v>45504</v>
      </c>
      <c r="B92" s="16">
        <v>0.0707</v>
      </c>
      <c r="C92" s="16">
        <v>0.0687</v>
      </c>
      <c r="D92" s="16">
        <v>0.0654</v>
      </c>
      <c r="E92" s="16">
        <v>0.0639</v>
      </c>
      <c r="F92" s="16">
        <v>0.0633</v>
      </c>
      <c r="G92" s="16">
        <v>0.06309999999999999</v>
      </c>
      <c r="H92" s="17" t="str">
        <f>IFERROR(INDEX($B$1:$G$1,MATCH(MIN(B92:G92),B92:G92,0)),"")</f>
        <v>5 years</v>
      </c>
    </row>
    <row r="93" spans="1:8">
      <c r="A93" s="15">
        <v>45535</v>
      </c>
      <c r="B93" s="16">
        <v>0.0687</v>
      </c>
      <c r="C93" s="16">
        <v>0.0644</v>
      </c>
      <c r="D93" s="16">
        <v>0.0594</v>
      </c>
      <c r="E93" s="16">
        <v>0.05860000000000001</v>
      </c>
      <c r="F93" s="16">
        <v>0.059</v>
      </c>
      <c r="G93" s="16">
        <v>0.059</v>
      </c>
      <c r="H93" s="17" t="str">
        <f>IFERROR(INDEX($B$1:$G$1,MATCH(MIN(B93:G93),B93:G93,0)),"")</f>
        <v>3 years</v>
      </c>
    </row>
    <row r="94" spans="1:8">
      <c r="A94" s="15">
        <v>45565</v>
      </c>
      <c r="B94" s="16">
        <v>0.0684</v>
      </c>
      <c r="C94" s="16">
        <v>0.06309999999999999</v>
      </c>
      <c r="D94" s="16">
        <v>0.0581</v>
      </c>
      <c r="E94" s="16">
        <v>0.058</v>
      </c>
      <c r="F94" s="16">
        <v>0.0579</v>
      </c>
      <c r="G94" s="16">
        <v>0.0579</v>
      </c>
      <c r="H94" s="17" t="str">
        <f>IFERROR(INDEX($B$1:$G$1,MATCH(MIN(B94:G94),B94:G94,0)),"")</f>
        <v>4 years</v>
      </c>
    </row>
    <row r="95" spans="1:8">
      <c r="A95" s="15">
        <v>45596</v>
      </c>
      <c r="B95" s="16">
        <v>0.06519999999999999</v>
      </c>
      <c r="C95" s="16">
        <v>0.0596</v>
      </c>
      <c r="D95" s="16">
        <v>0.05690000000000001</v>
      </c>
      <c r="E95" s="16">
        <v>0.0567</v>
      </c>
      <c r="F95" s="16">
        <v>0.0573</v>
      </c>
      <c r="G95" s="16">
        <v>0.0573</v>
      </c>
      <c r="H95" s="17" t="str">
        <f>IFERROR(INDEX($B$1:$G$1,MATCH(MIN(B95:G95),B95:G95,0)),"")</f>
        <v>3 years</v>
      </c>
    </row>
    <row r="96" spans="1:8">
      <c r="A96" s="15">
        <v>45626</v>
      </c>
      <c r="B96" s="16">
        <v>0.0645</v>
      </c>
      <c r="C96" s="16">
        <v>0.05860000000000001</v>
      </c>
      <c r="D96" s="16">
        <v>0.0565</v>
      </c>
      <c r="E96" s="16">
        <v>0.0565</v>
      </c>
      <c r="F96" s="16">
        <v>0.0576</v>
      </c>
      <c r="G96" s="16">
        <v>0.0576</v>
      </c>
      <c r="H96" s="17" t="str">
        <f>IFERROR(INDEX($B$1:$G$1,MATCH(MIN(B96:G96),B96:G96,0)),"")</f>
        <v>2 years</v>
      </c>
    </row>
    <row r="97" spans="1:8">
      <c r="A97" s="15">
        <v>45657</v>
      </c>
      <c r="B97" s="16">
        <v>0.0621</v>
      </c>
      <c r="C97" s="16">
        <v>0.0578</v>
      </c>
      <c r="D97" s="16">
        <v>0.0555</v>
      </c>
      <c r="E97" s="16">
        <v>0.05599999999999999</v>
      </c>
      <c r="F97" s="16">
        <v>0.0578</v>
      </c>
      <c r="G97" s="16">
        <v>0.0579</v>
      </c>
      <c r="H97" s="17" t="str">
        <f>IFERROR(INDEX($B$1:$G$1,MATCH(MIN(B97:G97),B97:G97,0)),"")</f>
        <v>2 years</v>
      </c>
    </row>
    <row r="98" spans="1:8">
      <c r="A98" s="15">
        <v>45688</v>
      </c>
      <c r="B98" s="16">
        <v>0.06</v>
      </c>
      <c r="C98" s="16">
        <v>0.0559</v>
      </c>
      <c r="D98" s="16">
        <v>0.0544</v>
      </c>
      <c r="E98" s="16">
        <v>0.0559</v>
      </c>
      <c r="F98" s="16">
        <v>0.0581</v>
      </c>
      <c r="G98" s="16">
        <v>0.0584</v>
      </c>
      <c r="H98" s="17" t="str">
        <f>IFERROR(INDEX($B$1:$G$1,MATCH(MIN(B98:G98),B98:G98,0)),"")</f>
        <v>2 years</v>
      </c>
    </row>
    <row r="99" spans="1:8">
      <c r="A99" s="15">
        <v>45716</v>
      </c>
      <c r="B99" s="16">
        <v>0.0585</v>
      </c>
      <c r="C99" s="16">
        <v>0.0528</v>
      </c>
      <c r="D99" s="16">
        <v>0.0513</v>
      </c>
      <c r="E99" s="16">
        <v>0.0538</v>
      </c>
      <c r="F99" s="16">
        <v>0.0567</v>
      </c>
      <c r="G99" s="16">
        <v>0.057</v>
      </c>
      <c r="H99" s="17" t="str">
        <f>IFERROR(INDEX($B$1:$G$1,MATCH(MIN(B99:G99),B99:G99,0)),"")</f>
        <v>2 years</v>
      </c>
    </row>
    <row r="100" spans="1:8">
      <c r="A100" s="15">
        <v>45747</v>
      </c>
      <c r="B100" s="16">
        <v>0.0585</v>
      </c>
      <c r="C100" s="16">
        <v>0.0522</v>
      </c>
      <c r="D100" s="16">
        <v>0.0506</v>
      </c>
      <c r="E100" s="16">
        <v>0.0535</v>
      </c>
      <c r="F100" s="16">
        <v>0.0567</v>
      </c>
      <c r="G100" s="16">
        <v>0.057</v>
      </c>
      <c r="H100" s="17" t="str">
        <f>IFERROR(INDEX($B$1:$G$1,MATCH(MIN(B100:G100),B100:G100,0)),"")</f>
        <v>2 years</v>
      </c>
    </row>
    <row r="101" spans="1:8">
      <c r="A101" s="15">
        <v>45777</v>
      </c>
      <c r="B101" s="16">
        <v>0.0556</v>
      </c>
      <c r="C101" s="16">
        <v>0.05019999999999999</v>
      </c>
      <c r="D101" s="16">
        <v>0.0503</v>
      </c>
      <c r="E101" s="16">
        <v>0.0532</v>
      </c>
      <c r="F101" s="16">
        <v>0.0567</v>
      </c>
      <c r="G101" s="16">
        <v>0.057</v>
      </c>
      <c r="H101" s="17" t="str">
        <f>IFERROR(INDEX($B$1:$G$1,MATCH(MIN(B101:G101),B101:G101,0)),"")</f>
        <v>1 year</v>
      </c>
    </row>
    <row r="102" spans="1:8">
      <c r="A102" s="15">
        <v>45808</v>
      </c>
      <c r="B102" s="16">
        <v>0.0545</v>
      </c>
      <c r="C102" s="16">
        <v>0.0496</v>
      </c>
      <c r="D102" s="16">
        <v>0.0498</v>
      </c>
      <c r="E102" s="16">
        <v>0.0524</v>
      </c>
      <c r="F102" s="16">
        <v>0.0563</v>
      </c>
      <c r="G102" s="16">
        <v>0.0568</v>
      </c>
      <c r="H102" s="17" t="str">
        <f>IFERROR(INDEX($B$1:$G$1,MATCH(MIN(B102:G102),B102:G102,0)),"")</f>
        <v>1 year</v>
      </c>
    </row>
    <row r="103" spans="1:8">
      <c r="A103" s="15">
        <v>45838</v>
      </c>
      <c r="B103" s="16">
        <v>0.0526</v>
      </c>
      <c r="C103" s="16">
        <v>0.0488</v>
      </c>
      <c r="D103" s="16">
        <v>0.04940000000000001</v>
      </c>
      <c r="E103" s="16">
        <v>0.0508</v>
      </c>
      <c r="F103" s="16">
        <v>0.0558</v>
      </c>
      <c r="G103" s="16">
        <v>0.0563</v>
      </c>
      <c r="H103" s="17" t="str">
        <f>IFERROR(INDEX($B$1:$G$1,MATCH(MIN(B103:G103),B103:G103,0)),"")</f>
        <v>1 year</v>
      </c>
    </row>
    <row r="104" spans="1:8">
      <c r="A104" s="15">
        <v>45869</v>
      </c>
      <c r="B104" s="16">
        <v>0.0525</v>
      </c>
      <c r="C104" s="16">
        <v>0.0487</v>
      </c>
      <c r="D104" s="16">
        <v>0.04940000000000001</v>
      </c>
      <c r="E104" s="16">
        <v>0.0507</v>
      </c>
      <c r="F104" s="16">
        <v>0.0558</v>
      </c>
      <c r="G104" s="16">
        <v>0.0563</v>
      </c>
      <c r="H104" s="17" t="str">
        <f>IFERROR(INDEX($B$1:$G$1,MATCH(MIN(B104:G104),B104:G104,0)),"")</f>
        <v>1 year</v>
      </c>
    </row>
    <row r="105" spans="1:8">
      <c r="A105" s="15">
        <v>45900</v>
      </c>
      <c r="B105" s="16">
        <v>0.0507</v>
      </c>
      <c r="C105" s="16">
        <v>0.0474</v>
      </c>
      <c r="D105" s="16">
        <v>0.048</v>
      </c>
      <c r="E105" s="16">
        <v>0.0499</v>
      </c>
      <c r="F105" s="16">
        <v>0.05429999999999999</v>
      </c>
      <c r="G105" s="16">
        <v>0.0553</v>
      </c>
      <c r="H105" s="17" t="str">
        <f>IFERROR(INDEX($B$1:$G$1,MATCH(MIN(B105:G105),B105:G105,0)),"")</f>
        <v>1 year</v>
      </c>
    </row>
    <row r="106" spans="1:8">
      <c r="A106" s="15">
        <v>45930</v>
      </c>
      <c r="B106" s="16">
        <v>0.0504</v>
      </c>
      <c r="C106" s="16">
        <v>0.0473</v>
      </c>
      <c r="D106" s="16">
        <v>0.0472</v>
      </c>
      <c r="E106" s="16">
        <v>0.04969999999999999</v>
      </c>
      <c r="F106" s="16">
        <v>0.05429999999999999</v>
      </c>
      <c r="G106" s="16">
        <v>0.0553</v>
      </c>
      <c r="H106" s="17" t="str">
        <f>IFERROR(INDEX($B$1:$G$1,MATCH(MIN(B106:G106),B106:G106,0)),"")</f>
        <v>2 years</v>
      </c>
    </row>
    <row r="107" spans="1:8">
      <c r="A107" s="15">
        <v>45961</v>
      </c>
      <c r="B107" s="16">
        <v>0.0481</v>
      </c>
      <c r="C107" s="16">
        <v>0.0443</v>
      </c>
      <c r="D107" s="16">
        <v>0.0452</v>
      </c>
      <c r="E107" s="16">
        <v>0.048</v>
      </c>
      <c r="F107" s="16">
        <v>0.0503</v>
      </c>
      <c r="G107" s="16">
        <v>0.0512</v>
      </c>
      <c r="H107" s="17" t="str">
        <f>IFERROR(INDEX($B$1:$G$1,MATCH(MIN(B107:G107),B107:G107,0)),"")</f>
        <v>1 year</v>
      </c>
    </row>
    <row r="108" spans="1:8">
      <c r="A108" s="15">
        <v>45991</v>
      </c>
      <c r="B108" s="16">
        <v>0.0478</v>
      </c>
      <c r="C108" s="16">
        <v>0.0443</v>
      </c>
      <c r="D108" s="16">
        <v>0.045</v>
      </c>
      <c r="E108" s="16">
        <v>0.0479</v>
      </c>
      <c r="F108" s="16">
        <v>0.0503</v>
      </c>
      <c r="G108" s="16">
        <v>0.0512</v>
      </c>
      <c r="H108" s="17" t="str">
        <f>IFERROR(INDEX($B$1:$G$1,MATCH(MIN(B108:G108),B108:G108,0)),"")</f>
        <v>1 year</v>
      </c>
    </row>
    <row r="109" spans="1:8">
      <c r="A109" s="15">
        <v>46022</v>
      </c>
      <c r="B109" s="16">
        <v>0.0469</v>
      </c>
      <c r="C109" s="16">
        <v>0.0445</v>
      </c>
      <c r="D109" s="16">
        <v>0.04650000000000001</v>
      </c>
      <c r="E109" s="16">
        <v>0.0501</v>
      </c>
      <c r="F109" s="16">
        <v>0.0522</v>
      </c>
      <c r="G109" s="16">
        <v>0.0527</v>
      </c>
      <c r="H109" s="17" t="str">
        <f>IFERROR(INDEX($B$1:$G$1,MATCH(MIN(B109:G109),B109:G109,0)),"")</f>
        <v>1 year</v>
      </c>
    </row>
    <row r="110" spans="1:8">
      <c r="A110" s="15">
        <v>46053</v>
      </c>
      <c r="B110" s="16">
        <v>0.0463</v>
      </c>
      <c r="C110" s="16">
        <v>0.04480000000000001</v>
      </c>
      <c r="D110" s="16">
        <v>0.0466</v>
      </c>
      <c r="E110" s="16">
        <v>0.0504</v>
      </c>
      <c r="F110" s="16">
        <v>0.0529</v>
      </c>
      <c r="G110" s="16">
        <v>0.0536</v>
      </c>
      <c r="H110" s="17" t="str">
        <f>IFERROR(INDEX($B$1:$G$1,MATCH(MIN(B110:G110),B110:G110,0)),"")</f>
        <v>1 year</v>
      </c>
    </row>
    <row r="111" spans="1:8">
      <c r="A111" s="15">
        <v>46081</v>
      </c>
      <c r="B111" s="16">
        <v>0.0455</v>
      </c>
      <c r="C111" s="16">
        <v>0.0446</v>
      </c>
      <c r="D111" s="16">
        <v>0.048</v>
      </c>
      <c r="E111" s="16">
        <v>0.0507</v>
      </c>
      <c r="F111" s="16">
        <v>0.0539</v>
      </c>
      <c r="G111" s="16">
        <v>0.0549</v>
      </c>
      <c r="H111" s="17" t="str">
        <f>IFERROR(INDEX($B$1:$G$1,MATCH(MIN(B111:G111),B111:G111,0)),"")</f>
        <v>1 year</v>
      </c>
    </row>
    <row r="112" spans="1:8">
      <c r="A112" s="15">
        <v>46112</v>
      </c>
      <c r="B112" s="16">
        <v>0.0449</v>
      </c>
      <c r="C112" s="16">
        <v>0.0454</v>
      </c>
      <c r="D112" s="16">
        <v>0.05019999999999999</v>
      </c>
      <c r="E112" s="16">
        <v>0.0527</v>
      </c>
      <c r="F112" s="16">
        <v>0.0551</v>
      </c>
      <c r="G112" s="16">
        <v>0.0566</v>
      </c>
      <c r="H112" s="17" t="str">
        <f>IFERROR(INDEX($B$1:$G$1,MATCH(MIN(B112:G112),B112:G112,0)),"")</f>
        <v>6 months</v>
      </c>
    </row>
    <row r="113" spans="1:8">
      <c r="A113" s="15">
        <v>46142</v>
      </c>
      <c r="B113" s="16">
        <v>0.04480000000000001</v>
      </c>
      <c r="C113" s="16">
        <v>0.0459</v>
      </c>
      <c r="D113" s="16">
        <v>0.0505</v>
      </c>
      <c r="E113" s="16">
        <v>0.053</v>
      </c>
      <c r="F113" s="16">
        <v>0.055</v>
      </c>
      <c r="G113" s="16">
        <v>0.0564</v>
      </c>
      <c r="H113" s="17" t="str">
        <f>IFERROR(INDEX($B$1:$G$1,MATCH(MIN(B113:G113),B113:G113,0)),"")</f>
        <v>6 months</v>
      </c>
    </row>
    <row r="114" spans="1:8">
      <c r="A114" s="15">
        <v>46173</v>
      </c>
      <c r="B114" s="16">
        <v>0.045</v>
      </c>
      <c r="C114" s="16">
        <v>0.04650000000000001</v>
      </c>
      <c r="D114" s="16">
        <v>0.0509</v>
      </c>
      <c r="E114" s="16">
        <v>0.0536</v>
      </c>
      <c r="F114" s="16">
        <v>0.0559</v>
      </c>
      <c r="G114" s="16">
        <v>0.0574</v>
      </c>
      <c r="H114" s="17" t="str">
        <f>IFERROR(INDEX($B$1:$G$1,MATCH(MIN(B114:G114),B114:G114,0)),"")</f>
        <v>6 months</v>
      </c>
    </row>
    <row r="115" spans="1:8">
      <c r="A115" s="15">
        <v>46203</v>
      </c>
      <c r="B115" s="16">
        <v>0.0457</v>
      </c>
      <c r="C115" s="16">
        <v>0.0467</v>
      </c>
      <c r="D115" s="16">
        <v>0.0508</v>
      </c>
      <c r="E115" s="16">
        <v>0.0532</v>
      </c>
      <c r="F115" s="16">
        <v>0.0551</v>
      </c>
      <c r="G115" s="16">
        <v>0.0564</v>
      </c>
      <c r="H115" s="17" t="str">
        <f>IFERROR(INDEX($B$1:$G$1,MATCH(MIN(B115:G115),B115:G115,0)),"")</f>
        <v>6 months</v>
      </c>
    </row>
    <row r="116" spans="1:8">
      <c r="A116" s="15">
        <v>46234</v>
      </c>
      <c r="B116" s="16">
        <v>0.046</v>
      </c>
      <c r="C116" s="16">
        <v>0.0474</v>
      </c>
      <c r="D116" s="16">
        <v>0.0515</v>
      </c>
      <c r="E116" s="16">
        <v>0.0535</v>
      </c>
      <c r="F116" s="16">
        <v>0.0552</v>
      </c>
      <c r="G116" s="16">
        <v>0.0563</v>
      </c>
      <c r="H116" s="17" t="str">
        <f>IFERROR(INDEX($B$1:$G$1,MATCH(MIN(B116:G116),B116:G116,0)),"")</f>
        <v>6 months</v>
      </c>
    </row>
    <row r="117" spans="1:8">
      <c r="A117" s="15">
        <v>46265</v>
      </c>
      <c r="B117" s="16">
        <v>0.0469</v>
      </c>
      <c r="C117" s="16">
        <v>0.0487</v>
      </c>
      <c r="D117" s="16">
        <v>0.0529</v>
      </c>
      <c r="E117" s="16">
        <v>0.0541</v>
      </c>
      <c r="F117" s="16">
        <v>0.0553</v>
      </c>
      <c r="G117" s="16">
        <v>0.0563</v>
      </c>
      <c r="H117" s="17" t="str">
        <f>IFERROR(INDEX($B$1:$G$1,MATCH(MIN(B117:G117),B117:G117,0)),"")</f>
        <v>6 months</v>
      </c>
    </row>
    <row r="118" spans="1:8">
      <c r="A118" s="15">
        <v>46295</v>
      </c>
      <c r="B118" s="16">
        <v>0.0474</v>
      </c>
      <c r="C118" s="16">
        <v>0.04969999999999999</v>
      </c>
      <c r="D118" s="16">
        <v>0.0527</v>
      </c>
      <c r="E118" s="16">
        <v>0.0547</v>
      </c>
      <c r="F118" s="16">
        <v>0.05599999999999999</v>
      </c>
      <c r="G118" s="16">
        <v>0.057</v>
      </c>
      <c r="H118" s="17" t="str">
        <f>IFERROR(INDEX($B$1:$G$1,MATCH(MIN(B118:G118),B118:G118,0)),"")</f>
        <v>6 months</v>
      </c>
    </row>
  </sheetData>
  <autoFilter ref="A1:H118"/>
  <conditionalFormatting sqref="B2:G118">
    <cfRule type="expression" dxfId="0" priority="1">
      <formula>AND(B2&lt;&gt;"",B2=MIN($B2:$G2))</formula>
    </cfRule>
  </conditionalFormatting>
  <pageMargins left="0.7" right="0.7" top="0.75" bottom="0.75" header="0.3" footer="0.3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2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13.7109375" customWidth="1"/>
    <col min="2" max="2" width="8.7109375" customWidth="1"/>
    <col min="3" max="9" width="10.28515625" customWidth="1"/>
    <col min="10" max="18" width="9.7109375" customWidth="1"/>
  </cols>
  <sheetData>
    <row r="1" spans="1:18">
      <c r="A1" s="1" t="s">
        <v>9</v>
      </c>
    </row>
    <row r="2" spans="1:18">
      <c r="A2" s="2" t="s">
        <v>10</v>
      </c>
    </row>
    <row r="4" spans="1:18">
      <c r="A4" s="6" t="s">
        <v>11</v>
      </c>
      <c r="B4" s="6" t="s">
        <v>12</v>
      </c>
      <c r="C4" s="6" t="s">
        <v>13</v>
      </c>
      <c r="D4" s="6"/>
      <c r="E4" s="6"/>
      <c r="F4" s="6"/>
      <c r="G4" s="6"/>
      <c r="H4" s="6"/>
      <c r="I4" s="6"/>
      <c r="K4" s="6" t="s">
        <v>14</v>
      </c>
      <c r="L4" s="6"/>
      <c r="M4" s="6"/>
      <c r="N4" s="6"/>
      <c r="O4" s="6"/>
      <c r="P4" s="6"/>
      <c r="Q4" s="6"/>
      <c r="R4" s="6"/>
    </row>
    <row r="5" spans="1:18">
      <c r="A5" s="6"/>
      <c r="B5" s="6"/>
      <c r="C5" s="6" t="s">
        <v>1</v>
      </c>
      <c r="D5" s="6" t="s">
        <v>2</v>
      </c>
      <c r="E5" s="6" t="s">
        <v>3</v>
      </c>
      <c r="F5" s="6" t="s">
        <v>4</v>
      </c>
      <c r="G5" s="6" t="s">
        <v>5</v>
      </c>
      <c r="H5" s="6" t="s">
        <v>6</v>
      </c>
      <c r="I5" s="6" t="s">
        <v>7</v>
      </c>
      <c r="K5" s="6" t="s">
        <v>1</v>
      </c>
      <c r="L5" s="6" t="s">
        <v>2</v>
      </c>
      <c r="M5" s="6" t="s">
        <v>3</v>
      </c>
      <c r="N5" s="6" t="s">
        <v>4</v>
      </c>
      <c r="O5" s="6" t="s">
        <v>5</v>
      </c>
      <c r="P5" s="6" t="s">
        <v>6</v>
      </c>
      <c r="Q5" s="6" t="s">
        <v>7</v>
      </c>
      <c r="R5" s="6" t="s">
        <v>15</v>
      </c>
    </row>
    <row r="6" spans="1:18">
      <c r="A6" s="18">
        <v>38353</v>
      </c>
      <c r="B6" s="11">
        <f>COUNTIFS('Standard rates'!$A$2:$A$262,"&gt;="&amp;$A6)</f>
        <v>261</v>
      </c>
      <c r="C6" s="9">
        <f>AVERAGEIFS('Standard rates'!$B$2:$B$262,'Standard rates'!$A$2:$A$262,"&gt;="&amp;$A6)</f>
        <v>0.06794406130268199</v>
      </c>
      <c r="D6" s="9">
        <f>AVERAGEIFS('Standard rates'!$C$2:$C$262,'Standard rates'!$A$2:$A$262,"&gt;="&amp;$A6)</f>
        <v>0.061274329501915706</v>
      </c>
      <c r="E6" s="9">
        <f>AVERAGEIFS('Standard rates'!$D$2:$D$262,'Standard rates'!$A$2:$A$262,"&gt;="&amp;$A6)</f>
        <v>0.05998007662835249</v>
      </c>
      <c r="F6" s="9">
        <f>AVERAGEIFS('Standard rates'!$E$2:$E$262,'Standard rates'!$A$2:$A$262,"&gt;="&amp;$A6)</f>
        <v>0.06155938697318008</v>
      </c>
      <c r="G6" s="9">
        <f>AVERAGEIFS('Standard rates'!$F$2:$F$262,'Standard rates'!$A$2:$A$262,"&gt;="&amp;$A6)</f>
        <v>0.06295632183908045</v>
      </c>
      <c r="H6" s="9">
        <f>AVERAGEIFS('Standard rates'!$G$2:$G$262,'Standard rates'!$A$2:$A$262,"&gt;="&amp;$A6)</f>
        <v>0.06515249042145593</v>
      </c>
      <c r="I6" s="9">
        <f>AVERAGEIFS('Standard rates'!$H$2:$H$262,'Standard rates'!$A$2:$A$262,"&gt;="&amp;$A6)</f>
        <v>0.06661302681992337</v>
      </c>
      <c r="K6" s="11">
        <f>COUNTIFS('Standard rates'!$A$2:$A$262,"&gt;="&amp;$A6,'Standard rates'!$I$2:$I$262,K$5)</f>
        <v>1</v>
      </c>
      <c r="L6" s="11">
        <f>COUNTIFS('Standard rates'!$A$2:$A$262,"&gt;="&amp;$A6,'Standard rates'!$I$2:$I$262,L$5)</f>
        <v>59</v>
      </c>
      <c r="M6" s="11">
        <f>COUNTIFS('Standard rates'!$A$2:$A$262,"&gt;="&amp;$A6,'Standard rates'!$I$2:$I$262,M$5)</f>
        <v>132</v>
      </c>
      <c r="N6" s="11">
        <f>COUNTIFS('Standard rates'!$A$2:$A$262,"&gt;="&amp;$A6,'Standard rates'!$I$2:$I$262,N$5)</f>
        <v>10</v>
      </c>
      <c r="O6" s="11">
        <f>COUNTIFS('Standard rates'!$A$2:$A$262,"&gt;="&amp;$A6,'Standard rates'!$I$2:$I$262,O$5)</f>
        <v>10</v>
      </c>
      <c r="P6" s="11">
        <f>COUNTIFS('Standard rates'!$A$2:$A$262,"&gt;="&amp;$A6,'Standard rates'!$I$2:$I$262,P$5)</f>
        <v>4</v>
      </c>
      <c r="Q6" s="11">
        <f>COUNTIFS('Standard rates'!$A$2:$A$262,"&gt;="&amp;$A6,'Standard rates'!$I$2:$I$262,Q$5)</f>
        <v>45</v>
      </c>
      <c r="R6" s="11">
        <f>SUM(K6:Q6)</f>
        <v>261</v>
      </c>
    </row>
    <row r="7" spans="1:18">
      <c r="A7" s="18">
        <v>38718</v>
      </c>
      <c r="B7" s="11">
        <f>COUNTIFS('Standard rates'!$A$2:$A$262,"&gt;="&amp;$A7)</f>
        <v>249</v>
      </c>
      <c r="C7" s="9">
        <f>AVERAGEIFS('Standard rates'!$B$2:$B$262,'Standard rates'!$A$2:$A$262,"&gt;="&amp;$A7)</f>
        <v>0.0668991967871486</v>
      </c>
      <c r="D7" s="9">
        <f>AVERAGEIFS('Standard rates'!$C$2:$C$262,'Standard rates'!$A$2:$A$262,"&gt;="&amp;$A7)</f>
        <v>0.06037510040160643</v>
      </c>
      <c r="E7" s="9">
        <f>AVERAGEIFS('Standard rates'!$D$2:$D$262,'Standard rates'!$A$2:$A$262,"&gt;="&amp;$A7)</f>
        <v>0.059053413654618477</v>
      </c>
      <c r="F7" s="9">
        <f>AVERAGEIFS('Standard rates'!$E$2:$E$262,'Standard rates'!$A$2:$A$262,"&gt;="&amp;$A7)</f>
        <v>0.06077028112449799</v>
      </c>
      <c r="G7" s="9">
        <f>AVERAGEIFS('Standard rates'!$F$2:$F$262,'Standard rates'!$A$2:$A$262,"&gt;="&amp;$A7)</f>
        <v>0.06223253012048193</v>
      </c>
      <c r="H7" s="9">
        <f>AVERAGEIFS('Standard rates'!$G$2:$G$262,'Standard rates'!$A$2:$A$262,"&gt;="&amp;$A7)</f>
        <v>0.06454578313253012</v>
      </c>
      <c r="I7" s="9">
        <f>AVERAGEIFS('Standard rates'!$H$2:$H$262,'Standard rates'!$A$2:$A$262,"&gt;="&amp;$A7)</f>
        <v>0.06610160642570281</v>
      </c>
      <c r="K7" s="11">
        <f>COUNTIFS('Standard rates'!$A$2:$A$262,"&gt;="&amp;$A7,'Standard rates'!$I$2:$I$262,K$5)</f>
        <v>1</v>
      </c>
      <c r="L7" s="11">
        <f>COUNTIFS('Standard rates'!$A$2:$A$262,"&gt;="&amp;$A7,'Standard rates'!$I$2:$I$262,L$5)</f>
        <v>59</v>
      </c>
      <c r="M7" s="11">
        <f>COUNTIFS('Standard rates'!$A$2:$A$262,"&gt;="&amp;$A7,'Standard rates'!$I$2:$I$262,M$5)</f>
        <v>129</v>
      </c>
      <c r="N7" s="11">
        <f>COUNTIFS('Standard rates'!$A$2:$A$262,"&gt;="&amp;$A7,'Standard rates'!$I$2:$I$262,N$5)</f>
        <v>8</v>
      </c>
      <c r="O7" s="11">
        <f>COUNTIFS('Standard rates'!$A$2:$A$262,"&gt;="&amp;$A7,'Standard rates'!$I$2:$I$262,O$5)</f>
        <v>10</v>
      </c>
      <c r="P7" s="11">
        <f>COUNTIFS('Standard rates'!$A$2:$A$262,"&gt;="&amp;$A7,'Standard rates'!$I$2:$I$262,P$5)</f>
        <v>3</v>
      </c>
      <c r="Q7" s="11">
        <f>COUNTIFS('Standard rates'!$A$2:$A$262,"&gt;="&amp;$A7,'Standard rates'!$I$2:$I$262,Q$5)</f>
        <v>39</v>
      </c>
      <c r="R7" s="11">
        <f>SUM(K7:Q7)</f>
        <v>249</v>
      </c>
    </row>
    <row r="8" spans="1:18">
      <c r="A8" s="18">
        <v>39083</v>
      </c>
      <c r="B8" s="11">
        <f>COUNTIFS('Standard rates'!$A$2:$A$262,"&gt;="&amp;$A8)</f>
        <v>237</v>
      </c>
      <c r="C8" s="9">
        <f>AVERAGEIFS('Standard rates'!$B$2:$B$262,'Standard rates'!$A$2:$A$262,"&gt;="&amp;$A8)</f>
        <v>0.06549367088607595</v>
      </c>
      <c r="D8" s="9">
        <f>AVERAGEIFS('Standard rates'!$C$2:$C$262,'Standard rates'!$A$2:$A$262,"&gt;="&amp;$A8)</f>
        <v>0.05917257383966244</v>
      </c>
      <c r="E8" s="9">
        <f>AVERAGEIFS('Standard rates'!$D$2:$D$262,'Standard rates'!$A$2:$A$262,"&gt;="&amp;$A8)</f>
        <v>0.05780590717299578</v>
      </c>
      <c r="F8" s="9">
        <f>AVERAGEIFS('Standard rates'!$E$2:$E$262,'Standard rates'!$A$2:$A$262,"&gt;="&amp;$A8)</f>
        <v>0.059785232067510546</v>
      </c>
      <c r="G8" s="9">
        <f>AVERAGEIFS('Standard rates'!$F$2:$F$262,'Standard rates'!$A$2:$A$262,"&gt;="&amp;$A8)</f>
        <v>0.0613759493670886</v>
      </c>
      <c r="H8" s="9">
        <f>AVERAGEIFS('Standard rates'!$G$2:$G$262,'Standard rates'!$A$2:$A$262,"&gt;="&amp;$A8)</f>
        <v>0.06381814345991561</v>
      </c>
      <c r="I8" s="9">
        <f>AVERAGEIFS('Standard rates'!$H$2:$H$262,'Standard rates'!$A$2:$A$262,"&gt;="&amp;$A8)</f>
        <v>0.06551139240506329</v>
      </c>
      <c r="K8" s="11">
        <f>COUNTIFS('Standard rates'!$A$2:$A$262,"&gt;="&amp;$A8,'Standard rates'!$I$2:$I$262,K$5)</f>
        <v>1</v>
      </c>
      <c r="L8" s="11">
        <f>COUNTIFS('Standard rates'!$A$2:$A$262,"&gt;="&amp;$A8,'Standard rates'!$I$2:$I$262,L$5)</f>
        <v>59</v>
      </c>
      <c r="M8" s="11">
        <f>COUNTIFS('Standard rates'!$A$2:$A$262,"&gt;="&amp;$A8,'Standard rates'!$I$2:$I$262,M$5)</f>
        <v>129</v>
      </c>
      <c r="N8" s="11">
        <f>COUNTIFS('Standard rates'!$A$2:$A$262,"&gt;="&amp;$A8,'Standard rates'!$I$2:$I$262,N$5)</f>
        <v>8</v>
      </c>
      <c r="O8" s="11">
        <f>COUNTIFS('Standard rates'!$A$2:$A$262,"&gt;="&amp;$A8,'Standard rates'!$I$2:$I$262,O$5)</f>
        <v>10</v>
      </c>
      <c r="P8" s="11">
        <f>COUNTIFS('Standard rates'!$A$2:$A$262,"&gt;="&amp;$A8,'Standard rates'!$I$2:$I$262,P$5)</f>
        <v>3</v>
      </c>
      <c r="Q8" s="11">
        <f>COUNTIFS('Standard rates'!$A$2:$A$262,"&gt;="&amp;$A8,'Standard rates'!$I$2:$I$262,Q$5)</f>
        <v>27</v>
      </c>
      <c r="R8" s="11">
        <f>SUM(K8:Q8)</f>
        <v>237</v>
      </c>
    </row>
    <row r="9" spans="1:18">
      <c r="A9" s="18">
        <v>39448</v>
      </c>
      <c r="B9" s="11">
        <f>COUNTIFS('Standard rates'!$A$2:$A$262,"&gt;="&amp;$A9)</f>
        <v>225</v>
      </c>
      <c r="C9" s="9">
        <f>AVERAGEIFS('Standard rates'!$B$2:$B$262,'Standard rates'!$A$2:$A$262,"&gt;="&amp;$A9)</f>
        <v>0.063628</v>
      </c>
      <c r="D9" s="9">
        <f>AVERAGEIFS('Standard rates'!$C$2:$C$262,'Standard rates'!$A$2:$A$262,"&gt;="&amp;$A9)</f>
        <v>0.05745022222222222</v>
      </c>
      <c r="E9" s="9">
        <f>AVERAGEIFS('Standard rates'!$D$2:$D$262,'Standard rates'!$A$2:$A$262,"&gt;="&amp;$A9)</f>
        <v>0.056011111111111116</v>
      </c>
      <c r="F9" s="9">
        <f>AVERAGEIFS('Standard rates'!$E$2:$E$262,'Standard rates'!$A$2:$A$262,"&gt;="&amp;$A9)</f>
        <v>0.05819777777777778</v>
      </c>
      <c r="G9" s="9">
        <f>AVERAGEIFS('Standard rates'!$F$2:$F$262,'Standard rates'!$A$2:$A$262,"&gt;="&amp;$A9)</f>
        <v>0.05996088888888888</v>
      </c>
      <c r="H9" s="9">
        <f>AVERAGEIFS('Standard rates'!$G$2:$G$262,'Standard rates'!$A$2:$A$262,"&gt;="&amp;$A9)</f>
        <v>0.06255822222222222</v>
      </c>
      <c r="I9" s="9">
        <f>AVERAGEIFS('Standard rates'!$H$2:$H$262,'Standard rates'!$A$2:$A$262,"&gt;="&amp;$A9)</f>
        <v>0.06441022222222223</v>
      </c>
      <c r="K9" s="11">
        <f>COUNTIFS('Standard rates'!$A$2:$A$262,"&gt;="&amp;$A9,'Standard rates'!$I$2:$I$262,K$5)</f>
        <v>1</v>
      </c>
      <c r="L9" s="11">
        <f>COUNTIFS('Standard rates'!$A$2:$A$262,"&gt;="&amp;$A9,'Standard rates'!$I$2:$I$262,L$5)</f>
        <v>59</v>
      </c>
      <c r="M9" s="11">
        <f>COUNTIFS('Standard rates'!$A$2:$A$262,"&gt;="&amp;$A9,'Standard rates'!$I$2:$I$262,M$5)</f>
        <v>129</v>
      </c>
      <c r="N9" s="11">
        <f>COUNTIFS('Standard rates'!$A$2:$A$262,"&gt;="&amp;$A9,'Standard rates'!$I$2:$I$262,N$5)</f>
        <v>8</v>
      </c>
      <c r="O9" s="11">
        <f>COUNTIFS('Standard rates'!$A$2:$A$262,"&gt;="&amp;$A9,'Standard rates'!$I$2:$I$262,O$5)</f>
        <v>10</v>
      </c>
      <c r="P9" s="11">
        <f>COUNTIFS('Standard rates'!$A$2:$A$262,"&gt;="&amp;$A9,'Standard rates'!$I$2:$I$262,P$5)</f>
        <v>3</v>
      </c>
      <c r="Q9" s="11">
        <f>COUNTIFS('Standard rates'!$A$2:$A$262,"&gt;="&amp;$A9,'Standard rates'!$I$2:$I$262,Q$5)</f>
        <v>15</v>
      </c>
      <c r="R9" s="11">
        <f>SUM(K9:Q9)</f>
        <v>225</v>
      </c>
    </row>
    <row r="10" spans="1:18">
      <c r="A10" s="18">
        <v>39814</v>
      </c>
      <c r="B10" s="11">
        <f>COUNTIFS('Standard rates'!$A$2:$A$262,"&gt;="&amp;$A10)</f>
        <v>213</v>
      </c>
      <c r="C10" s="9">
        <f>AVERAGEIFS('Standard rates'!$B$2:$B$262,'Standard rates'!$A$2:$A$262,"&gt;="&amp;$A10)</f>
        <v>0.06150845070422535</v>
      </c>
      <c r="D10" s="9">
        <f>AVERAGEIFS('Standard rates'!$C$2:$C$262,'Standard rates'!$A$2:$A$262,"&gt;="&amp;$A10)</f>
        <v>0.05550422535211268</v>
      </c>
      <c r="E10" s="9">
        <f>AVERAGEIFS('Standard rates'!$D$2:$D$262,'Standard rates'!$A$2:$A$262,"&gt;="&amp;$A10)</f>
        <v>0.054084976525821594</v>
      </c>
      <c r="F10" s="9">
        <f>AVERAGEIFS('Standard rates'!$E$2:$E$262,'Standard rates'!$A$2:$A$262,"&gt;="&amp;$A10)</f>
        <v>0.05648826291079812</v>
      </c>
      <c r="G10" s="9">
        <f>AVERAGEIFS('Standard rates'!$F$2:$F$262,'Standard rates'!$A$2:$A$262,"&gt;="&amp;$A10)</f>
        <v>0.05834131455399061</v>
      </c>
      <c r="H10" s="9">
        <f>AVERAGEIFS('Standard rates'!$G$2:$G$262,'Standard rates'!$A$2:$A$262,"&gt;="&amp;$A10)</f>
        <v>0.06106197183098591</v>
      </c>
      <c r="I10" s="9">
        <f>AVERAGEIFS('Standard rates'!$H$2:$H$262,'Standard rates'!$A$2:$A$262,"&gt;="&amp;$A10)</f>
        <v>0.06303333333333333</v>
      </c>
      <c r="K10" s="11">
        <f>COUNTIFS('Standard rates'!$A$2:$A$262,"&gt;="&amp;$A10,'Standard rates'!$I$2:$I$262,K$5)</f>
        <v>1</v>
      </c>
      <c r="L10" s="11">
        <f>COUNTIFS('Standard rates'!$A$2:$A$262,"&gt;="&amp;$A10,'Standard rates'!$I$2:$I$262,L$5)</f>
        <v>59</v>
      </c>
      <c r="M10" s="11">
        <f>COUNTIFS('Standard rates'!$A$2:$A$262,"&gt;="&amp;$A10,'Standard rates'!$I$2:$I$262,M$5)</f>
        <v>126</v>
      </c>
      <c r="N10" s="11">
        <f>COUNTIFS('Standard rates'!$A$2:$A$262,"&gt;="&amp;$A10,'Standard rates'!$I$2:$I$262,N$5)</f>
        <v>5</v>
      </c>
      <c r="O10" s="11">
        <f>COUNTIFS('Standard rates'!$A$2:$A$262,"&gt;="&amp;$A10,'Standard rates'!$I$2:$I$262,O$5)</f>
        <v>9</v>
      </c>
      <c r="P10" s="11">
        <f>COUNTIFS('Standard rates'!$A$2:$A$262,"&gt;="&amp;$A10,'Standard rates'!$I$2:$I$262,P$5)</f>
        <v>2</v>
      </c>
      <c r="Q10" s="11">
        <f>COUNTIFS('Standard rates'!$A$2:$A$262,"&gt;="&amp;$A10,'Standard rates'!$I$2:$I$262,Q$5)</f>
        <v>11</v>
      </c>
      <c r="R10" s="11">
        <f>SUM(K10:Q10)</f>
        <v>213</v>
      </c>
    </row>
    <row r="11" spans="1:18">
      <c r="A11" s="18">
        <v>40179</v>
      </c>
      <c r="B11" s="11">
        <f>COUNTIFS('Standard rates'!$A$2:$A$262,"&gt;="&amp;$A11)</f>
        <v>201</v>
      </c>
      <c r="C11" s="9">
        <f>AVERAGEIFS('Standard rates'!$B$2:$B$262,'Standard rates'!$A$2:$A$262,"&gt;="&amp;$A11)</f>
        <v>0.06137064676616915</v>
      </c>
      <c r="D11" s="9">
        <f>AVERAGEIFS('Standard rates'!$C$2:$C$262,'Standard rates'!$A$2:$A$262,"&gt;="&amp;$A11)</f>
        <v>0.05541393034825871</v>
      </c>
      <c r="E11" s="9">
        <f>AVERAGEIFS('Standard rates'!$D$2:$D$262,'Standard rates'!$A$2:$A$262,"&gt;="&amp;$A11)</f>
        <v>0.053836815920398004</v>
      </c>
      <c r="F11" s="9">
        <f>AVERAGEIFS('Standard rates'!$E$2:$E$262,'Standard rates'!$A$2:$A$262,"&gt;="&amp;$A11)</f>
        <v>0.055980099502487564</v>
      </c>
      <c r="G11" s="9">
        <f>AVERAGEIFS('Standard rates'!$F$2:$F$262,'Standard rates'!$A$2:$A$262,"&gt;="&amp;$A11)</f>
        <v>0.057578606965174126</v>
      </c>
      <c r="H11" s="9">
        <f>AVERAGEIFS('Standard rates'!$G$2:$G$262,'Standard rates'!$A$2:$A$262,"&gt;="&amp;$A11)</f>
        <v>0.06015572139303483</v>
      </c>
      <c r="I11" s="9">
        <f>AVERAGEIFS('Standard rates'!$H$2:$H$262,'Standard rates'!$A$2:$A$262,"&gt;="&amp;$A11)</f>
        <v>0.06208358208955224</v>
      </c>
      <c r="K11" s="11">
        <f>COUNTIFS('Standard rates'!$A$2:$A$262,"&gt;="&amp;$A11,'Standard rates'!$I$2:$I$262,K$5)</f>
        <v>1</v>
      </c>
      <c r="L11" s="11">
        <f>COUNTIFS('Standard rates'!$A$2:$A$262,"&gt;="&amp;$A11,'Standard rates'!$I$2:$I$262,L$5)</f>
        <v>50</v>
      </c>
      <c r="M11" s="11">
        <f>COUNTIFS('Standard rates'!$A$2:$A$262,"&gt;="&amp;$A11,'Standard rates'!$I$2:$I$262,M$5)</f>
        <v>123</v>
      </c>
      <c r="N11" s="11">
        <f>COUNTIFS('Standard rates'!$A$2:$A$262,"&gt;="&amp;$A11,'Standard rates'!$I$2:$I$262,N$5)</f>
        <v>5</v>
      </c>
      <c r="O11" s="11">
        <f>COUNTIFS('Standard rates'!$A$2:$A$262,"&gt;="&amp;$A11,'Standard rates'!$I$2:$I$262,O$5)</f>
        <v>9</v>
      </c>
      <c r="P11" s="11">
        <f>COUNTIFS('Standard rates'!$A$2:$A$262,"&gt;="&amp;$A11,'Standard rates'!$I$2:$I$262,P$5)</f>
        <v>2</v>
      </c>
      <c r="Q11" s="11">
        <f>COUNTIFS('Standard rates'!$A$2:$A$262,"&gt;="&amp;$A11,'Standard rates'!$I$2:$I$262,Q$5)</f>
        <v>11</v>
      </c>
      <c r="R11" s="11">
        <f>SUM(K11:Q11)</f>
        <v>201</v>
      </c>
    </row>
    <row r="12" spans="1:18">
      <c r="A12" s="18">
        <v>40544</v>
      </c>
      <c r="B12" s="11">
        <f>COUNTIFS('Standard rates'!$A$2:$A$262,"&gt;="&amp;$A12)</f>
        <v>189</v>
      </c>
      <c r="C12" s="9">
        <f>AVERAGEIFS('Standard rates'!$B$2:$B$262,'Standard rates'!$A$2:$A$262,"&gt;="&amp;$A12)</f>
        <v>0.061355026455026454</v>
      </c>
      <c r="D12" s="9">
        <f>AVERAGEIFS('Standard rates'!$C$2:$C$262,'Standard rates'!$A$2:$A$262,"&gt;="&amp;$A12)</f>
        <v>0.0551095238095238</v>
      </c>
      <c r="E12" s="9">
        <f>AVERAGEIFS('Standard rates'!$D$2:$D$262,'Standard rates'!$A$2:$A$262,"&gt;="&amp;$A12)</f>
        <v>0.05325291005291005</v>
      </c>
      <c r="F12" s="9">
        <f>AVERAGEIFS('Standard rates'!$E$2:$E$262,'Standard rates'!$A$2:$A$262,"&gt;="&amp;$A12)</f>
        <v>0.05511798941798942</v>
      </c>
      <c r="G12" s="9">
        <f>AVERAGEIFS('Standard rates'!$F$2:$F$262,'Standard rates'!$A$2:$A$262,"&gt;="&amp;$A12)</f>
        <v>0.05651375661375662</v>
      </c>
      <c r="H12" s="9">
        <f>AVERAGEIFS('Standard rates'!$G$2:$G$262,'Standard rates'!$A$2:$A$262,"&gt;="&amp;$A12)</f>
        <v>0.05899206349206349</v>
      </c>
      <c r="I12" s="9">
        <f>AVERAGEIFS('Standard rates'!$H$2:$H$262,'Standard rates'!$A$2:$A$262,"&gt;="&amp;$A12)</f>
        <v>0.06088835978835978</v>
      </c>
      <c r="K12" s="11">
        <f>COUNTIFS('Standard rates'!$A$2:$A$262,"&gt;="&amp;$A12,'Standard rates'!$I$2:$I$262,K$5)</f>
        <v>1</v>
      </c>
      <c r="L12" s="11">
        <f>COUNTIFS('Standard rates'!$A$2:$A$262,"&gt;="&amp;$A12,'Standard rates'!$I$2:$I$262,L$5)</f>
        <v>38</v>
      </c>
      <c r="M12" s="11">
        <f>COUNTIFS('Standard rates'!$A$2:$A$262,"&gt;="&amp;$A12,'Standard rates'!$I$2:$I$262,M$5)</f>
        <v>123</v>
      </c>
      <c r="N12" s="11">
        <f>COUNTIFS('Standard rates'!$A$2:$A$262,"&gt;="&amp;$A12,'Standard rates'!$I$2:$I$262,N$5)</f>
        <v>5</v>
      </c>
      <c r="O12" s="11">
        <f>COUNTIFS('Standard rates'!$A$2:$A$262,"&gt;="&amp;$A12,'Standard rates'!$I$2:$I$262,O$5)</f>
        <v>9</v>
      </c>
      <c r="P12" s="11">
        <f>COUNTIFS('Standard rates'!$A$2:$A$262,"&gt;="&amp;$A12,'Standard rates'!$I$2:$I$262,P$5)</f>
        <v>2</v>
      </c>
      <c r="Q12" s="11">
        <f>COUNTIFS('Standard rates'!$A$2:$A$262,"&gt;="&amp;$A12,'Standard rates'!$I$2:$I$262,Q$5)</f>
        <v>11</v>
      </c>
      <c r="R12" s="11">
        <f>SUM(K12:Q12)</f>
        <v>189</v>
      </c>
    </row>
    <row r="13" spans="1:18">
      <c r="A13" s="18">
        <v>40909</v>
      </c>
      <c r="B13" s="11">
        <f>COUNTIFS('Standard rates'!$A$2:$A$262,"&gt;="&amp;$A13)</f>
        <v>177</v>
      </c>
      <c r="C13" s="9">
        <f>AVERAGEIFS('Standard rates'!$B$2:$B$262,'Standard rates'!$A$2:$A$262,"&gt;="&amp;$A13)</f>
        <v>0.061481355932203385</v>
      </c>
      <c r="D13" s="9">
        <f>AVERAGEIFS('Standard rates'!$C$2:$C$262,'Standard rates'!$A$2:$A$262,"&gt;="&amp;$A13)</f>
        <v>0.054850847457627125</v>
      </c>
      <c r="E13" s="9">
        <f>AVERAGEIFS('Standard rates'!$D$2:$D$262,'Standard rates'!$A$2:$A$262,"&gt;="&amp;$A13)</f>
        <v>0.052808474576271185</v>
      </c>
      <c r="F13" s="9">
        <f>AVERAGEIFS('Standard rates'!$E$2:$E$262,'Standard rates'!$A$2:$A$262,"&gt;="&amp;$A13)</f>
        <v>0.05454745762711864</v>
      </c>
      <c r="G13" s="9">
        <f>AVERAGEIFS('Standard rates'!$F$2:$F$262,'Standard rates'!$A$2:$A$262,"&gt;="&amp;$A13)</f>
        <v>0.055702824858757057</v>
      </c>
      <c r="H13" s="9">
        <f>AVERAGEIFS('Standard rates'!$G$2:$G$262,'Standard rates'!$A$2:$A$262,"&gt;="&amp;$A13)</f>
        <v>0.058063276836158195</v>
      </c>
      <c r="I13" s="9">
        <f>AVERAGEIFS('Standard rates'!$H$2:$H$262,'Standard rates'!$A$2:$A$262,"&gt;="&amp;$A13)</f>
        <v>0.05988135593220339</v>
      </c>
      <c r="K13" s="11">
        <f>COUNTIFS('Standard rates'!$A$2:$A$262,"&gt;="&amp;$A13,'Standard rates'!$I$2:$I$262,K$5)</f>
        <v>0</v>
      </c>
      <c r="L13" s="11">
        <f>COUNTIFS('Standard rates'!$A$2:$A$262,"&gt;="&amp;$A13,'Standard rates'!$I$2:$I$262,L$5)</f>
        <v>27</v>
      </c>
      <c r="M13" s="11">
        <f>COUNTIFS('Standard rates'!$A$2:$A$262,"&gt;="&amp;$A13,'Standard rates'!$I$2:$I$262,M$5)</f>
        <v>123</v>
      </c>
      <c r="N13" s="11">
        <f>COUNTIFS('Standard rates'!$A$2:$A$262,"&gt;="&amp;$A13,'Standard rates'!$I$2:$I$262,N$5)</f>
        <v>5</v>
      </c>
      <c r="O13" s="11">
        <f>COUNTIFS('Standard rates'!$A$2:$A$262,"&gt;="&amp;$A13,'Standard rates'!$I$2:$I$262,O$5)</f>
        <v>9</v>
      </c>
      <c r="P13" s="11">
        <f>COUNTIFS('Standard rates'!$A$2:$A$262,"&gt;="&amp;$A13,'Standard rates'!$I$2:$I$262,P$5)</f>
        <v>2</v>
      </c>
      <c r="Q13" s="11">
        <f>COUNTIFS('Standard rates'!$A$2:$A$262,"&gt;="&amp;$A13,'Standard rates'!$I$2:$I$262,Q$5)</f>
        <v>11</v>
      </c>
      <c r="R13" s="11">
        <f>SUM(K13:Q13)</f>
        <v>177</v>
      </c>
    </row>
    <row r="14" spans="1:18">
      <c r="A14" s="18">
        <v>41275</v>
      </c>
      <c r="B14" s="11">
        <f>COUNTIFS('Standard rates'!$A$2:$A$262,"&gt;="&amp;$A14)</f>
        <v>165</v>
      </c>
      <c r="C14" s="9">
        <f>AVERAGEIFS('Standard rates'!$B$2:$B$262,'Standard rates'!$A$2:$A$262,"&gt;="&amp;$A14)</f>
        <v>0.06172484848484848</v>
      </c>
      <c r="D14" s="9">
        <f>AVERAGEIFS('Standard rates'!$C$2:$C$262,'Standard rates'!$A$2:$A$262,"&gt;="&amp;$A14)</f>
        <v>0.05481575757575758</v>
      </c>
      <c r="E14" s="9">
        <f>AVERAGEIFS('Standard rates'!$D$2:$D$262,'Standard rates'!$A$2:$A$262,"&gt;="&amp;$A14)</f>
        <v>0.052690303030303025</v>
      </c>
      <c r="F14" s="9">
        <f>AVERAGEIFS('Standard rates'!$E$2:$E$262,'Standard rates'!$A$2:$A$262,"&gt;="&amp;$A14)</f>
        <v>0.05443515151515151</v>
      </c>
      <c r="G14" s="9">
        <f>AVERAGEIFS('Standard rates'!$F$2:$F$262,'Standard rates'!$A$2:$A$262,"&gt;="&amp;$A14)</f>
        <v>0.05543818181818182</v>
      </c>
      <c r="H14" s="9">
        <f>AVERAGEIFS('Standard rates'!$G$2:$G$262,'Standard rates'!$A$2:$A$262,"&gt;="&amp;$A14)</f>
        <v>0.057704848484848484</v>
      </c>
      <c r="I14" s="9">
        <f>AVERAGEIFS('Standard rates'!$H$2:$H$262,'Standard rates'!$A$2:$A$262,"&gt;="&amp;$A14)</f>
        <v>0.05938181818181818</v>
      </c>
      <c r="K14" s="11">
        <f>COUNTIFS('Standard rates'!$A$2:$A$262,"&gt;="&amp;$A14,'Standard rates'!$I$2:$I$262,K$5)</f>
        <v>0</v>
      </c>
      <c r="L14" s="11">
        <f>COUNTIFS('Standard rates'!$A$2:$A$262,"&gt;="&amp;$A14,'Standard rates'!$I$2:$I$262,L$5)</f>
        <v>22</v>
      </c>
      <c r="M14" s="11">
        <f>COUNTIFS('Standard rates'!$A$2:$A$262,"&gt;="&amp;$A14,'Standard rates'!$I$2:$I$262,M$5)</f>
        <v>116</v>
      </c>
      <c r="N14" s="11">
        <f>COUNTIFS('Standard rates'!$A$2:$A$262,"&gt;="&amp;$A14,'Standard rates'!$I$2:$I$262,N$5)</f>
        <v>5</v>
      </c>
      <c r="O14" s="11">
        <f>COUNTIFS('Standard rates'!$A$2:$A$262,"&gt;="&amp;$A14,'Standard rates'!$I$2:$I$262,O$5)</f>
        <v>9</v>
      </c>
      <c r="P14" s="11">
        <f>COUNTIFS('Standard rates'!$A$2:$A$262,"&gt;="&amp;$A14,'Standard rates'!$I$2:$I$262,P$5)</f>
        <v>2</v>
      </c>
      <c r="Q14" s="11">
        <f>COUNTIFS('Standard rates'!$A$2:$A$262,"&gt;="&amp;$A14,'Standard rates'!$I$2:$I$262,Q$5)</f>
        <v>11</v>
      </c>
      <c r="R14" s="11">
        <f>SUM(K14:Q14)</f>
        <v>165</v>
      </c>
    </row>
    <row r="15" spans="1:18">
      <c r="A15" s="18">
        <v>41640</v>
      </c>
      <c r="B15" s="11">
        <f>COUNTIFS('Standard rates'!$A$2:$A$262,"&gt;="&amp;$A15)</f>
        <v>153</v>
      </c>
      <c r="C15" s="9">
        <f>AVERAGEIFS('Standard rates'!$B$2:$B$262,'Standard rates'!$A$2:$A$262,"&gt;="&amp;$A15)</f>
        <v>0.06200915032679738</v>
      </c>
      <c r="D15" s="9">
        <f>AVERAGEIFS('Standard rates'!$C$2:$C$262,'Standard rates'!$A$2:$A$262,"&gt;="&amp;$A15)</f>
        <v>0.05487254901960784</v>
      </c>
      <c r="E15" s="9">
        <f>AVERAGEIFS('Standard rates'!$D$2:$D$262,'Standard rates'!$A$2:$A$262,"&gt;="&amp;$A15)</f>
        <v>0.05263660130718954</v>
      </c>
      <c r="F15" s="9">
        <f>AVERAGEIFS('Standard rates'!$E$2:$E$262,'Standard rates'!$A$2:$A$262,"&gt;="&amp;$A15)</f>
        <v>0.05426013071895425</v>
      </c>
      <c r="G15" s="9">
        <f>AVERAGEIFS('Standard rates'!$F$2:$F$262,'Standard rates'!$A$2:$A$262,"&gt;="&amp;$A15)</f>
        <v>0.05500065359477125</v>
      </c>
      <c r="H15" s="9">
        <f>AVERAGEIFS('Standard rates'!$G$2:$G$262,'Standard rates'!$A$2:$A$262,"&gt;="&amp;$A15)</f>
        <v>0.05726143790849673</v>
      </c>
      <c r="I15" s="9">
        <f>AVERAGEIFS('Standard rates'!$H$2:$H$262,'Standard rates'!$A$2:$A$262,"&gt;="&amp;$A15)</f>
        <v>0.058820915032679735</v>
      </c>
      <c r="K15" s="11">
        <f>COUNTIFS('Standard rates'!$A$2:$A$262,"&gt;="&amp;$A15,'Standard rates'!$I$2:$I$262,K$5)</f>
        <v>0</v>
      </c>
      <c r="L15" s="11">
        <f>COUNTIFS('Standard rates'!$A$2:$A$262,"&gt;="&amp;$A15,'Standard rates'!$I$2:$I$262,L$5)</f>
        <v>21</v>
      </c>
      <c r="M15" s="11">
        <f>COUNTIFS('Standard rates'!$A$2:$A$262,"&gt;="&amp;$A15,'Standard rates'!$I$2:$I$262,M$5)</f>
        <v>105</v>
      </c>
      <c r="N15" s="11">
        <f>COUNTIFS('Standard rates'!$A$2:$A$262,"&gt;="&amp;$A15,'Standard rates'!$I$2:$I$262,N$5)</f>
        <v>5</v>
      </c>
      <c r="O15" s="11">
        <f>COUNTIFS('Standard rates'!$A$2:$A$262,"&gt;="&amp;$A15,'Standard rates'!$I$2:$I$262,O$5)</f>
        <v>9</v>
      </c>
      <c r="P15" s="11">
        <f>COUNTIFS('Standard rates'!$A$2:$A$262,"&gt;="&amp;$A15,'Standard rates'!$I$2:$I$262,P$5)</f>
        <v>2</v>
      </c>
      <c r="Q15" s="11">
        <f>COUNTIFS('Standard rates'!$A$2:$A$262,"&gt;="&amp;$A15,'Standard rates'!$I$2:$I$262,Q$5)</f>
        <v>11</v>
      </c>
      <c r="R15" s="11">
        <f>SUM(K15:Q15)</f>
        <v>153</v>
      </c>
    </row>
    <row r="16" spans="1:18">
      <c r="A16" s="18">
        <v>42005</v>
      </c>
      <c r="B16" s="11">
        <f>COUNTIFS('Standard rates'!$A$2:$A$262,"&gt;="&amp;$A16)</f>
        <v>141</v>
      </c>
      <c r="C16" s="9">
        <f>AVERAGEIFS('Standard rates'!$B$2:$B$262,'Standard rates'!$A$2:$A$262,"&gt;="&amp;$A16)</f>
        <v>0.06191985815602837</v>
      </c>
      <c r="D16" s="9">
        <f>AVERAGEIFS('Standard rates'!$C$2:$C$262,'Standard rates'!$A$2:$A$262,"&gt;="&amp;$A16)</f>
        <v>0.05464964539007092</v>
      </c>
      <c r="E16" s="9">
        <f>AVERAGEIFS('Standard rates'!$D$2:$D$262,'Standard rates'!$A$2:$A$262,"&gt;="&amp;$A16)</f>
        <v>0.05216595744680851</v>
      </c>
      <c r="F16" s="9">
        <f>AVERAGEIFS('Standard rates'!$E$2:$E$262,'Standard rates'!$A$2:$A$262,"&gt;="&amp;$A16)</f>
        <v>0.0535950354609929</v>
      </c>
      <c r="G16" s="9">
        <f>AVERAGEIFS('Standard rates'!$F$2:$F$262,'Standard rates'!$A$2:$A$262,"&gt;="&amp;$A16)</f>
        <v>0.054131914893617024</v>
      </c>
      <c r="H16" s="9">
        <f>AVERAGEIFS('Standard rates'!$G$2:$G$262,'Standard rates'!$A$2:$A$262,"&gt;="&amp;$A16)</f>
        <v>0.05631631205673759</v>
      </c>
      <c r="I16" s="9">
        <f>AVERAGEIFS('Standard rates'!$H$2:$H$262,'Standard rates'!$A$2:$A$262,"&gt;="&amp;$A16)</f>
        <v>0.057773049645390075</v>
      </c>
      <c r="K16" s="11">
        <f>COUNTIFS('Standard rates'!$A$2:$A$262,"&gt;="&amp;$A16,'Standard rates'!$I$2:$I$262,K$5)</f>
        <v>0</v>
      </c>
      <c r="L16" s="11">
        <f>COUNTIFS('Standard rates'!$A$2:$A$262,"&gt;="&amp;$A16,'Standard rates'!$I$2:$I$262,L$5)</f>
        <v>11</v>
      </c>
      <c r="M16" s="11">
        <f>COUNTIFS('Standard rates'!$A$2:$A$262,"&gt;="&amp;$A16,'Standard rates'!$I$2:$I$262,M$5)</f>
        <v>103</v>
      </c>
      <c r="N16" s="11">
        <f>COUNTIFS('Standard rates'!$A$2:$A$262,"&gt;="&amp;$A16,'Standard rates'!$I$2:$I$262,N$5)</f>
        <v>5</v>
      </c>
      <c r="O16" s="11">
        <f>COUNTIFS('Standard rates'!$A$2:$A$262,"&gt;="&amp;$A16,'Standard rates'!$I$2:$I$262,O$5)</f>
        <v>9</v>
      </c>
      <c r="P16" s="11">
        <f>COUNTIFS('Standard rates'!$A$2:$A$262,"&gt;="&amp;$A16,'Standard rates'!$I$2:$I$262,P$5)</f>
        <v>2</v>
      </c>
      <c r="Q16" s="11">
        <f>COUNTIFS('Standard rates'!$A$2:$A$262,"&gt;="&amp;$A16,'Standard rates'!$I$2:$I$262,Q$5)</f>
        <v>11</v>
      </c>
      <c r="R16" s="11">
        <f>SUM(K16:Q16)</f>
        <v>141</v>
      </c>
    </row>
    <row r="17" spans="1:18">
      <c r="A17" s="18">
        <v>42370</v>
      </c>
      <c r="B17" s="11">
        <f>COUNTIFS('Standard rates'!$A$2:$A$262,"&gt;="&amp;$A17)</f>
        <v>129</v>
      </c>
      <c r="C17" s="9">
        <f>AVERAGEIFS('Standard rates'!$B$2:$B$262,'Standard rates'!$A$2:$A$262,"&gt;="&amp;$A17)</f>
        <v>0.06184263565891473</v>
      </c>
      <c r="D17" s="9">
        <f>AVERAGEIFS('Standard rates'!$C$2:$C$262,'Standard rates'!$A$2:$A$262,"&gt;="&amp;$A17)</f>
        <v>0.05452868217054264</v>
      </c>
      <c r="E17" s="9">
        <f>AVERAGEIFS('Standard rates'!$D$2:$D$262,'Standard rates'!$A$2:$A$262,"&gt;="&amp;$A17)</f>
        <v>0.051959689922480616</v>
      </c>
      <c r="F17" s="9">
        <f>AVERAGEIFS('Standard rates'!$E$2:$E$262,'Standard rates'!$A$2:$A$262,"&gt;="&amp;$A17)</f>
        <v>0.053350387596899224</v>
      </c>
      <c r="G17" s="9">
        <f>AVERAGEIFS('Standard rates'!$F$2:$F$262,'Standard rates'!$A$2:$A$262,"&gt;="&amp;$A17)</f>
        <v>0.053787596899224806</v>
      </c>
      <c r="H17" s="9">
        <f>AVERAGEIFS('Standard rates'!$G$2:$G$262,'Standard rates'!$A$2:$A$262,"&gt;="&amp;$A17)</f>
        <v>0.05612713178294574</v>
      </c>
      <c r="I17" s="9">
        <f>AVERAGEIFS('Standard rates'!$H$2:$H$262,'Standard rates'!$A$2:$A$262,"&gt;="&amp;$A17)</f>
        <v>0.05743875968992248</v>
      </c>
      <c r="K17" s="11">
        <f>COUNTIFS('Standard rates'!$A$2:$A$262,"&gt;="&amp;$A17,'Standard rates'!$I$2:$I$262,K$5)</f>
        <v>0</v>
      </c>
      <c r="L17" s="11">
        <f>COUNTIFS('Standard rates'!$A$2:$A$262,"&gt;="&amp;$A17,'Standard rates'!$I$2:$I$262,L$5)</f>
        <v>11</v>
      </c>
      <c r="M17" s="11">
        <f>COUNTIFS('Standard rates'!$A$2:$A$262,"&gt;="&amp;$A17,'Standard rates'!$I$2:$I$262,M$5)</f>
        <v>91</v>
      </c>
      <c r="N17" s="11">
        <f>COUNTIFS('Standard rates'!$A$2:$A$262,"&gt;="&amp;$A17,'Standard rates'!$I$2:$I$262,N$5)</f>
        <v>5</v>
      </c>
      <c r="O17" s="11">
        <f>COUNTIFS('Standard rates'!$A$2:$A$262,"&gt;="&amp;$A17,'Standard rates'!$I$2:$I$262,O$5)</f>
        <v>9</v>
      </c>
      <c r="P17" s="11">
        <f>COUNTIFS('Standard rates'!$A$2:$A$262,"&gt;="&amp;$A17,'Standard rates'!$I$2:$I$262,P$5)</f>
        <v>2</v>
      </c>
      <c r="Q17" s="11">
        <f>COUNTIFS('Standard rates'!$A$2:$A$262,"&gt;="&amp;$A17,'Standard rates'!$I$2:$I$262,Q$5)</f>
        <v>11</v>
      </c>
      <c r="R17" s="11">
        <f>SUM(K17:Q17)</f>
        <v>129</v>
      </c>
    </row>
    <row r="19" spans="1:18" ht="26" customHeight="1">
      <c r="A19" s="19" t="s">
        <v>16</v>
      </c>
      <c r="B19" s="19"/>
      <c r="C19" s="8">
        <f>AVERAGE(C6:C17)</f>
        <v>0.06309807512167666</v>
      </c>
      <c r="D19" s="8">
        <f>AVERAGE(D6:D17)</f>
        <v>0.05650144892407568</v>
      </c>
      <c r="E19" s="8">
        <f>AVERAGE(E6:E17)</f>
        <v>0.05469051977910503</v>
      </c>
      <c r="F19" s="8">
        <f>AVERAGE(F6:F17)</f>
        <v>0.05650726605777984</v>
      </c>
      <c r="G19" s="8">
        <f>AVERAGE(G6:G17)</f>
        <v>0.05775171170108443</v>
      </c>
      <c r="H19" s="8">
        <f>AVERAGE(H6:H17)</f>
        <v>0.06014645025178291</v>
      </c>
      <c r="I19" s="8">
        <f>AVERAGE(I6:I17)</f>
        <v>0.06182811846384758</v>
      </c>
      <c r="J19" s="7" t="s">
        <v>15</v>
      </c>
      <c r="K19" s="11">
        <f>SUM(K6:K17)</f>
        <v>7</v>
      </c>
      <c r="L19" s="11">
        <f>SUM(L6:L17)</f>
        <v>475</v>
      </c>
      <c r="M19" s="11">
        <f>SUM(M6:M17)</f>
        <v>1429</v>
      </c>
      <c r="N19" s="11">
        <f>SUM(N6:N17)</f>
        <v>74</v>
      </c>
      <c r="O19" s="11">
        <f>SUM(O6:O17)</f>
        <v>112</v>
      </c>
      <c r="P19" s="11">
        <f>SUM(P6:P17)</f>
        <v>29</v>
      </c>
      <c r="Q19" s="11">
        <f>SUM(Q6:Q17)</f>
        <v>214</v>
      </c>
      <c r="R19" s="11">
        <f>SUM(R6:R17)</f>
        <v>2340</v>
      </c>
    </row>
    <row r="20" spans="1:18">
      <c r="J20" s="7" t="s">
        <v>17</v>
      </c>
      <c r="K20" s="12">
        <f>K19/$R$19</f>
        <v>0.0029914529914529917</v>
      </c>
      <c r="L20" s="12">
        <f>L19/$R$19</f>
        <v>0.202991452991453</v>
      </c>
      <c r="M20" s="12">
        <f>M19/$R$19</f>
        <v>0.6106837606837607</v>
      </c>
      <c r="N20" s="12">
        <f>N19/$R$19</f>
        <v>0.03162393162393162</v>
      </c>
      <c r="O20" s="12">
        <f>O19/$R$19</f>
        <v>0.04786324786324787</v>
      </c>
      <c r="P20" s="12">
        <f>P19/$R$19</f>
        <v>0.012393162393162393</v>
      </c>
      <c r="Q20" s="12">
        <f>Q19/$R$19</f>
        <v>0.09145299145299145</v>
      </c>
    </row>
    <row r="22" spans="1:18" ht="28" customHeight="1">
      <c r="A22" s="10" t="s">
        <v>18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</sheetData>
  <mergeCells count="6">
    <mergeCell ref="A4:A5"/>
    <mergeCell ref="B4:B5"/>
    <mergeCell ref="C4:I4"/>
    <mergeCell ref="K4:R4"/>
    <mergeCell ref="A19:B19"/>
    <mergeCell ref="A22:R22"/>
  </mergeCells>
  <pageMargins left="0.7" right="0.7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Summary</vt:lpstr>
      <vt:lpstr>Standard rates</vt:lpstr>
      <vt:lpstr>Special rates</vt:lpstr>
      <vt:lpstr>Workings</vt:lpstr>
      <vt:lpstr>'Special rates'!Print_Titles</vt:lpstr>
      <vt:lpstr>'Standard rates'!Print_Titles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NZ historical mortgage interest rates</dc:title>
  <dc:creator>Your Money Blueprint</dc:creator>
  <dc:description>Data: Reserve Bank of New Zealand series B20 and B21</dc:description>
  <cp:lastModifiedBy>Your Money Blueprint</cp:lastModifiedBy>
  <dcterms:created xsi:type="dcterms:W3CDTF">2026-10-17T20:47:28Z</dcterms:created>
  <dcterms:modified xsi:type="dcterms:W3CDTF">2026-10-17T20:47:28Z</dcterms:modified>
</cp:coreProperties>
</file>